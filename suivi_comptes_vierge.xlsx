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<sst xmlns="http://schemas.openxmlformats.org/spreadsheetml/2006/main" count="131" uniqueCount="104">
  <si>
    <t xml:space="preserve">Synthèse mensuelle</t>
  </si>
  <si>
    <t xml:space="preserve">Tout est calculé à partir des autres onglets (Paramètres, Comptes, Charges, Revenus, Charges perso).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</si>
  <si>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</si>
  <si>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</si>
  <si>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</si>
  <si>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</si>
  <si>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</si>
  <si>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</si>
  <si>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</si>
  <si>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</si>
  <si>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</si>
  <si>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</si>
  <si>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</si>
  <si>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</si>
  <si>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</si>
  <si>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</si>
  <si>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</si>
  <si>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</si>
  <si>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</si>
  <si>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</si>
  <si>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</si>
  <si>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</si>
  <si>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</si>
  <si>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</si>
  <si>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avant charges perso</t>
  </si>
  <si>
    <t xml:space="preserve">Charges perso &amp; épargne perso débitées</t>
  </si>
  <si>
    <t xml:space="preserve">Solde mensuel prévisionnel</t>
  </si>
  <si>
    <t xml:space="preserve">Total</t>
  </si>
  <si>
    <t xml:space="preserve">Lecture : un compte joint à solde 0 est équilibré. Un compte perso à solde positif = ce qu'il reste après charges communes, charges perso (détail ou forfait) et épargne perso, imputées à ce compte (compte débité de la ligne, sinon le compte perso) ; négatif = salaire insuffisant. Un compte d'épargne affiche les virements reçus ce mois.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</si>
  <si>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</si>
  <si>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</si>
  <si>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</si>
  <si>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</si>
  <si>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</si>
  <si>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</si>
  <si>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</si>
  <si>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</si>
  <si>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Mensuelle</t>
  </si>
  <si>
    <t xml:space="preserve">Personne 2</t>
  </si>
  <si>
    <t xml:space="preserve">Trimestrielle</t>
  </si>
  <si>
    <t xml:space="preserve">Compte perso de la Personne 1</t>
  </si>
  <si>
    <t xml:space="preserve">Semestrielle</t>
  </si>
  <si>
    <t xml:space="preserve">Compte perso de la Personne 2</t>
  </si>
  <si>
    <t xml:space="preserve">Annuelle</t>
  </si>
  <si>
    <t xml:space="preserve">Part de la Personne 1 dans les salaires (pour « Prorata salaires »)</t>
  </si>
  <si>
    <t xml:space="preserve">Hypothèse : 50 % si aucun salaire n'est saisi. Le prénom des salaires (onglet Revenus) doit être identique à celui saisi plus haut.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</si>
  <si>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</si>
  <si>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</si>
  <si>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</si>
  <si>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</si>
  <si>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</si>
  <si>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</si>
  <si>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</si>
  <si>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Épargne perso : pourcentage du reste après charges perso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</si>
  <si>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</si>
  <si>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</si>
  <si>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</si>
  <si>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Le montant de la ligne « Provision imprévus » de l'onglet Charges vaut ce pourcentage × les salaires mensuels du foyer. Les comptes (débité et destinataire) et la répartition de cette ligne sont à régler dans Charges.</t>
  </si>
  <si>
    <t xml:space="preserve">Version du modèle</t>
  </si>
  <si>
    <t xml:space="preserve">1.1.0</t>
  </si>
  <si>
    <t xml:space="preserve">Voir MIGRATION.md pour migrer un fichier d'une version à l'autre.</t>
  </si>
  <si>
    <t xml:space="preserve">Comptes bancaires</t>
  </si>
  <si>
    <t xml:space="preserve">Paramétrez ici vos comptes (10 lignes). Le nom saisi ici alimente les listes déroulantes des autres onglets. Si vous renommez un compte, corrigez-le aussi dans les lignes déjà saisies.</t>
  </si>
  <si>
    <t xml:space="preserve">Nom du compte</t>
  </si>
  <si>
    <t xml:space="preserve">Titulaire(s)</t>
  </si>
  <si>
    <t xml:space="preserve">Usage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</si>
  <si>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</si>
  <si>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</si>
  <si>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</si>
  <si>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</si>
  <si>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</si>
  <si>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</si>
  <si>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</si>
  <si>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</si>
  <si>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</si>
  <si>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</si>
  <si>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</si>
  <si>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</si>
  <si>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</si>
  <si>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Provision imprévus (% des salaires)</t>
  </si>
  <si>
    <t xml:space="preserve">Imprévus</t>
  </si>
  <si>
    <t xml:space="preserve">Variable</t>
  </si>
  <si>
    <t xml:space="preserve">Virement</t>
  </si>
  <si>
    <t xml:space="preserve">50/50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</si>
  <si>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</si>
  <si>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</si>
  <si>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 Colonne Personne : prénom identique à Paramètres (obligatoire pour un salaire), ou « Commun ».</t>
  </si>
  <si>
    <t xml:space="preserve">Compte de réception</t>
  </si>
  <si>
    <t xml:space="preserve">Charges personnelles (facultatif)</t>
  </si>
  <si>
    <t xml:space="preserve">Dépenses propres à chacun. Utilisé seulement si le mode « Détail » est choisi pour la personne dans Paramètres. Compte débité : si vide, la dépense est imputée au compte perso de la personne.</t>
  </si>
  <si>
    <t xml:space="preserve">Compte imputé (calculé)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</si>
  <si>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</si>
  <si>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</si>
  <si>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(somme des lignes de catégorie « Imprévus » dans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</si>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</sst>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Personne 1</v>
      </c>
      <c r="B5" s="6" t="n">
        <f aca="false">SUMIFS(Revenus!$F$5:$F$24,Revenus!$B$5:$B$24,"Salaire",Revenus!$C$5:$C$24,A5)</f>
        <v>0</v>
      </c>
      <c r="C5" s="6" t="n">
        <f aca="false">SUM(E$13:E$22)</f>
        <v>0</v>
      </c>
      <c r="D5" s="6" t="n">
        <f aca="false">IF(Paramètres!$B$6="",0,IFERROR(INDEX($C$13:$C$22,MATCH(Paramètres!$B$6,$A$13:$A$22,0)),0))</f>
        <v>0</v>
      </c>
      <c r="E5" s="6" t="n">
        <f aca="false">C5+D5</f>
        <v>0</v>
      </c>
      <c r="F5" s="7" t="n">
        <f aca="false">IF(B5=0,0,E5/B5)</f>
        <v>0</v>
      </c>
      <c r="G5" s="6" t="n">
        <f aca="false">IF(Paramètres!$B$6="",0,IFERROR(INDEX($J$13:$J$22,MATCH(Paramètres!$B$6,$A$13:$A$22,0)),0))</f>
        <v>0</v>
      </c>
      <c r="H5" s="6" t="n">
        <f aca="false">IF(Paramètres!B$15="Forfait",Paramètres!B$16,SUMIFS('Charges perso'!$F$5:$F$44,'Charges perso'!$B$5:$B$44,A5))</f>
        <v>0</v>
      </c>
      <c r="I5" s="6" t="n">
        <f aca="false">G5-H5</f>
        <v>0</v>
      </c>
      <c r="J5" s="6" t="n">
        <f aca="false">MAX(0,IF(Paramètres!B$17="Pourcentage",Paramètres!B$18*MAX(0,I5),Paramètres!B$19))</f>
        <v>0</v>
      </c>
      <c r="K5" s="6" t="n">
        <f aca="false">I5-J5</f>
        <v>0</v>
      </c>
    </row>
    <row r="6" customFormat="false" ht="15" hidden="false" customHeight="false" outlineLevel="0" collapsed="false">
      <c r="A6" s="5" t="str">
        <f aca="false">Paramètres!$B$5</f>
        <v>Personne 2</v>
      </c>
      <c r="B6" s="6" t="n">
        <f aca="false">SUMIFS(Revenus!$F$5:$F$24,Revenus!$B$5:$B$24,"Salaire",Revenus!$C$5:$C$24,A6)</f>
        <v>0</v>
      </c>
      <c r="C6" s="6" t="n">
        <f aca="false">SUM(F$13:F$22)</f>
        <v>0</v>
      </c>
      <c r="D6" s="6" t="n">
        <f aca="false">IF(Paramètres!$B$7="",0,IFERROR(INDEX($C$13:$C$22,MATCH(Paramètres!$B$7,$A$13:$A$22,0)),0))</f>
        <v>0</v>
      </c>
      <c r="E6" s="6" t="n">
        <f aca="false">C6+D6</f>
        <v>0</v>
      </c>
      <c r="F6" s="7" t="n">
        <f aca="false">IF(B6=0,0,E6/B6)</f>
        <v>0</v>
      </c>
      <c r="G6" s="6" t="n">
        <f aca="false">IF(Paramètres!$B$7="",0,IFERROR(INDEX($J$13:$J$22,MATCH(Paramètres!$B$7,$A$13:$A$22,0)),0))</f>
        <v>0</v>
      </c>
      <c r="H6" s="6" t="n">
        <f aca="false">IF(Paramètres!C$15="Forfait",Paramètres!C$16,SUMIFS('Charges perso'!$F$5:$F$44,'Charges perso'!$B$5:$B$44,A6))</f>
        <v>0</v>
      </c>
      <c r="I6" s="6" t="n">
        <f aca="false">G6-H6</f>
        <v>0</v>
      </c>
      <c r="J6" s="6" t="n">
        <f aca="false">MAX(0,IF(Paramètres!C$17="Pourcentage",Paramètres!C$18*MAX(0,I6),Paramètres!C$19))</f>
        <v>0</v>
      </c>
      <c r="K6" s="6" t="n">
        <f aca="false">I6-J6</f>
        <v>0</v>
      </c>
    </row>
    <row r="7" customFormat="false" ht="15" hidden="false" customHeight="false" outlineLevel="0" collapsed="false">
      <c r="A7" s="8" t="s">
        <v>14</v>
      </c>
      <c r="B7" s="9" t="n">
        <f aca="false">SUM(B5:B6)</f>
        <v>0</v>
      </c>
      <c r="C7" s="9" t="n">
        <f aca="false">SUM(C5:C6)</f>
        <v>0</v>
      </c>
      <c r="D7" s="9" t="n">
        <f aca="false">SUM(D5:D6)</f>
        <v>0</v>
      </c>
      <c r="E7" s="9" t="n">
        <f aca="false">SUM(E5:E6)</f>
        <v>0</v>
      </c>
      <c r="F7" s="10" t="n">
        <f aca="false">IF(B7=0,0,E7/B7)</f>
        <v>0</v>
      </c>
      <c r="G7" s="9" t="n">
        <f aca="false">SUM(G5:G6)</f>
        <v>0</v>
      </c>
      <c r="H7" s="9" t="n">
        <f aca="false">SUM(H5:H6)</f>
        <v>0</v>
      </c>
      <c r="I7" s="9" t="n">
        <f aca="false">SUM(I5:I6)</f>
        <v>0</v>
      </c>
      <c r="J7" s="9" t="n">
        <f aca="false">SUM(J5:J6)</f>
        <v>0</v>
      </c>
      <c r="K7" s="9" t="n">
        <f aca="false">SUM(K5:K6)</f>
        <v>0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Personne 1</v>
      </c>
      <c r="F12" s="4" t="str">
        <f aca="false">"À virer par "&amp;Paramètres!$B$5</f>
        <v>À virer par Personne 2</v>
      </c>
      <c r="G12" s="4" t="s">
        <v>21</v>
      </c>
      <c r="H12" s="4" t="s">
        <v>22</v>
      </c>
      <c r="I12" s="4" t="s">
        <v>23</v>
      </c>
      <c r="J12" s="4" t="s">
        <v>24</v>
      </c>
      <c r="K12" s="4" t="s">
        <v>25</v>
      </c>
      <c r="L12" s="4" t="s">
        <v>26</v>
      </c>
    </row>
    <row r="13" customFormat="false" ht="15" hidden="false" customHeight="false" outlineLevel="0" collapsed="false">
      <c r="A13" s="5" t="str">
        <f aca="false">IF(Comptes!A5="","",Comptes!A5)</f>
        <v/>
      </c>
      <c r="B13" s="5" t="str">
        <f aca="false">IF($A13="","",Comptes!B5)</f>
        <v/>
      </c>
      <c r="C13" s="6" t="str">
        <f aca="false">IF($A13="","",SUMIFS(Charges!$F$5:$F$54,Charges!$H$5:$H$54,$A13))</f>
        <v/>
      </c>
      <c r="D13" s="6" t="str">
        <f aca="false">IF($A13="","",SUMIFS(Revenus!$F$5:$F$24,Revenus!$G$5:$G$24,$A13,Revenus!$B$5:$B$24,"&lt;&gt;Salaire"))</f>
        <v/>
      </c>
      <c r="E13" s="11" t="str">
        <f aca="false">IF($A13="","",IF($B13="Joint",IF($C13=0,0,($C13-$D13)*SUMIFS(Charges!$M$5:$M$54,Charges!$H$5:$H$54,$A13)/$C13),0))</f>
        <v/>
      </c>
      <c r="F13" s="11" t="str">
        <f aca="false">IF($A13="","",IF($B13="Joint",IF($C13=0,0,($C13-$D13)*SUMIFS(Charges!$N$5:$N$54,Charges!$H$5:$H$54,$A13)/$C13),0))</f>
        <v/>
      </c>
      <c r="G13" s="6" t="str">
        <f aca="false">IF($A13="","",SUMIFS(Revenus!$F$5:$F$24,Revenus!$G$5:$G$24,$A13,Revenus!$B$5:$B$24,"Salaire"))</f>
        <v/>
      </c>
      <c r="H13" s="6" t="str">
        <f aca="false">IF($A13="","",SUMIFS(Charges!$F$5:$F$54,Charges!$I$5:$I$54,$A13,Charges!$G$5:$G$54,"Virement"))</f>
        <v/>
      </c>
      <c r="I13" s="6" t="str">
        <f aca="false">IF($A13="","",IF($A13=Paramètres!$B$6,SUM($E$13:$E$22),IF($A13=Paramètres!$B$7,SUM($F$13:$F$22),0)))</f>
        <v/>
      </c>
      <c r="J13" s="6" t="str">
        <f aca="false">IF($A13="","",G13+D13+H13+IF(B13="Joint",E13+F13,0)-C13-I13)</f>
        <v/>
      </c>
      <c r="K13" s="6" t="str">
        <f aca="false">IF($A13="","",SUMIFS('Charges perso'!$F$5:$F$44,'Charges perso'!$J$5:$J$44,$A13)+IF(AND($A13=Paramètres!$B$6,Paramètres!$B$15="Forfait"),Paramètres!$B$16,0)+IF(AND($A13=Paramètres!$B$7,Paramètres!$C$15="Forfait"),Paramètres!$C$16,0)+IF($A13=Paramètres!$B$6,$J$5,0)+IF($A13=Paramètres!$B$7,$J$6,0))</f>
        <v/>
      </c>
      <c r="L13" s="6" t="str">
        <f aca="false">IF($A13="","",J13-K13)</f>
        <v/>
      </c>
    </row>
    <row r="14" customFormat="false" ht="15" hidden="false" customHeight="false" outlineLevel="0" collapsed="false">
      <c r="A14" s="5" t="str">
        <f aca="false">IF(Comptes!A6="","",Comptes!A6)</f>
        <v/>
      </c>
      <c r="B14" s="5" t="str">
        <f aca="false">IF($A14="","",Comptes!B6)</f>
        <v/>
      </c>
      <c r="C14" s="6" t="str">
        <f aca="false">IF($A14="","",SUMIFS(Charges!$F$5:$F$54,Charges!$H$5:$H$54,$A14))</f>
        <v/>
      </c>
      <c r="D14" s="6" t="str">
        <f aca="false">IF($A14="","",SUMIFS(Revenus!$F$5:$F$24,Revenus!$G$5:$G$24,$A14,Revenus!$B$5:$B$24,"&lt;&gt;Salaire"))</f>
        <v/>
      </c>
      <c r="E14" s="11" t="str">
        <f aca="false">IF($A14="","",IF($B14="Joint",IF($C14=0,0,($C14-$D14)*SUMIFS(Charges!$M$5:$M$54,Charges!$H$5:$H$54,$A14)/$C14),0))</f>
        <v/>
      </c>
      <c r="F14" s="11" t="str">
        <f aca="false">IF($A14="","",IF($B14="Joint",IF($C14=0,0,($C14-$D14)*SUMIFS(Charges!$N$5:$N$54,Charges!$H$5:$H$54,$A14)/$C14),0))</f>
        <v/>
      </c>
      <c r="G14" s="6" t="str">
        <f aca="false">IF($A14="","",SUMIFS(Revenus!$F$5:$F$24,Revenus!$G$5:$G$24,$A14,Revenus!$B$5:$B$24,"Salaire"))</f>
        <v/>
      </c>
      <c r="H14" s="6" t="str">
        <f aca="false">IF($A14="","",SUMIFS(Charges!$F$5:$F$54,Charges!$I$5:$I$54,$A14,Charges!$G$5:$G$54,"Virement"))</f>
        <v/>
      </c>
      <c r="I14" s="6" t="str">
        <f aca="false">IF($A14="","",IF($A14=Paramètres!$B$6,SUM($E$13:$E$22),IF($A14=Paramètres!$B$7,SUM($F$13:$F$22),0)))</f>
        <v/>
      </c>
      <c r="J14" s="6" t="str">
        <f aca="false">IF($A14="","",G14+D14+H14+IF(B14="Joint",E14+F14,0)-C14-I14)</f>
        <v/>
      </c>
      <c r="K14" s="6" t="str">
        <f aca="false">IF($A14="","",SUMIFS('Charges perso'!$F$5:$F$44,'Charges perso'!$J$5:$J$44,$A14)+IF(AND($A14=Paramètres!$B$6,Paramètres!$B$15="Forfait"),Paramètres!$B$16,0)+IF(AND($A14=Paramètres!$B$7,Paramètres!$C$15="Forfait"),Paramètres!$C$16,0)+IF($A14=Paramètres!$B$6,$J$5,0)+IF($A14=Paramètres!$B$7,$J$6,0))</f>
        <v/>
      </c>
      <c r="L14" s="6" t="str">
        <f aca="false">IF($A14="","",J14-K14)</f>
        <v/>
      </c>
    </row>
    <row r="15" customFormat="false" ht="15" hidden="false" customHeight="false" outlineLevel="0" collapsed="false">
      <c r="A15" s="5" t="str">
        <f aca="false">IF(Comptes!A7="","",Comptes!A7)</f>
        <v/>
      </c>
      <c r="B15" s="5" t="str">
        <f aca="false">IF($A15="","",Comptes!B7)</f>
        <v/>
      </c>
      <c r="C15" s="6" t="str">
        <f aca="false">IF($A15="","",SUMIFS(Charges!$F$5:$F$54,Charges!$H$5:$H$54,$A15))</f>
        <v/>
      </c>
      <c r="D15" s="6" t="str">
        <f aca="false">IF($A15="","",SUMIFS(Revenus!$F$5:$F$24,Revenus!$G$5:$G$24,$A15,Revenus!$B$5:$B$24,"&lt;&gt;Salaire"))</f>
        <v/>
      </c>
      <c r="E15" s="11" t="str">
        <f aca="false">IF($A15="","",IF($B15="Joint",IF($C15=0,0,($C15-$D15)*SUMIFS(Charges!$M$5:$M$54,Charges!$H$5:$H$54,$A15)/$C15),0))</f>
        <v/>
      </c>
      <c r="F15" s="11" t="str">
        <f aca="false">IF($A15="","",IF($B15="Joint",IF($C15=0,0,($C15-$D15)*SUMIFS(Charges!$N$5:$N$54,Charges!$H$5:$H$54,$A15)/$C15),0))</f>
        <v/>
      </c>
      <c r="G15" s="6" t="str">
        <f aca="false">IF($A15="","",SUMIFS(Revenus!$F$5:$F$24,Revenus!$G$5:$G$24,$A15,Revenus!$B$5:$B$24,"Salaire"))</f>
        <v/>
      </c>
      <c r="H15" s="6" t="str">
        <f aca="false">IF($A15="","",SUMIFS(Charges!$F$5:$F$54,Charges!$I$5:$I$54,$A15,Charges!$G$5:$G$54,"Virement"))</f>
        <v/>
      </c>
      <c r="I15" s="6" t="str">
        <f aca="false">IF($A15="","",IF($A15=Paramètres!$B$6,SUM($E$13:$E$22),IF($A15=Paramètres!$B$7,SUM($F$13:$F$22),0)))</f>
        <v/>
      </c>
      <c r="J15" s="6" t="str">
        <f aca="false">IF($A15="","",G15+D15+H15+IF(B15="Joint",E15+F15,0)-C15-I15)</f>
        <v/>
      </c>
      <c r="K15" s="6" t="str">
        <f aca="false">IF($A15="","",SUMIFS('Charges perso'!$F$5:$F$44,'Charges perso'!$J$5:$J$44,$A15)+IF(AND($A15=Paramètres!$B$6,Paramètres!$B$15="Forfait"),Paramètres!$B$16,0)+IF(AND($A15=Paramètres!$B$7,Paramètres!$C$15="Forfait"),Paramètres!$C$16,0)+IF($A15=Paramètres!$B$6,$J$5,0)+IF($A15=Paramètres!$B$7,$J$6,0))</f>
        <v/>
      </c>
      <c r="L15" s="6" t="str">
        <f aca="false">IF($A15="","",J15-K15)</f>
        <v/>
      </c>
    </row>
    <row r="16" customFormat="false" ht="15" hidden="false" customHeight="false" outlineLevel="0" collapsed="false">
      <c r="A16" s="5" t="str">
        <f aca="false">IF(Comptes!A8="","",Comptes!A8)</f>
        <v/>
      </c>
      <c r="B16" s="5" t="str">
        <f aca="false">IF($A16="","",Comptes!B8)</f>
        <v/>
      </c>
      <c r="C16" s="6" t="str">
        <f aca="false">IF($A16="","",SUMIFS(Charges!$F$5:$F$54,Charges!$H$5:$H$54,$A16))</f>
        <v/>
      </c>
      <c r="D16" s="6" t="str">
        <f aca="false">IF($A16="","",SUMIFS(Revenus!$F$5:$F$24,Revenus!$G$5:$G$24,$A16,Revenus!$B$5:$B$24,"&lt;&gt;Salaire"))</f>
        <v/>
      </c>
      <c r="E16" s="11" t="str">
        <f aca="false">IF($A16="","",IF($B16="Joint",IF($C16=0,0,($C16-$D16)*SUMIFS(Charges!$M$5:$M$54,Charges!$H$5:$H$54,$A16)/$C16),0))</f>
        <v/>
      </c>
      <c r="F16" s="11" t="str">
        <f aca="false">IF($A16="","",IF($B16="Joint",IF($C16=0,0,($C16-$D16)*SUMIFS(Charges!$N$5:$N$54,Charges!$H$5:$H$54,$A16)/$C16),0))</f>
        <v/>
      </c>
      <c r="G16" s="6" t="str">
        <f aca="false">IF($A16="","",SUMIFS(Revenus!$F$5:$F$24,Revenus!$G$5:$G$24,$A16,Revenus!$B$5:$B$24,"Salaire"))</f>
        <v/>
      </c>
      <c r="H16" s="6" t="str">
        <f aca="false">IF($A16="","",SUMIFS(Charges!$F$5:$F$54,Charges!$I$5:$I$54,$A16,Charges!$G$5:$G$54,"Virement"))</f>
        <v/>
      </c>
      <c r="I16" s="6" t="str">
        <f aca="false">IF($A16="","",IF($A16=Paramètres!$B$6,SUM($E$13:$E$22),IF($A16=Paramètres!$B$7,SUM($F$13:$F$22),0)))</f>
        <v/>
      </c>
      <c r="J16" s="6" t="str">
        <f aca="false">IF($A16="","",G16+D16+H16+IF(B16="Joint",E16+F16,0)-C16-I16)</f>
        <v/>
      </c>
      <c r="K16" s="6" t="str">
        <f aca="false">IF($A16="","",SUMIFS('Charges perso'!$F$5:$F$44,'Charges perso'!$J$5:$J$44,$A16)+IF(AND($A16=Paramètres!$B$6,Paramètres!$B$15="Forfait"),Paramètres!$B$16,0)+IF(AND($A16=Paramètres!$B$7,Paramètres!$C$15="Forfait"),Paramètres!$C$16,0)+IF($A16=Paramètres!$B$6,$J$5,0)+IF($A16=Paramètres!$B$7,$J$6,0))</f>
        <v/>
      </c>
      <c r="L16" s="6" t="str">
        <f aca="false">IF($A16="","",J16-K16)</f>
        <v/>
      </c>
    </row>
    <row r="17" customFormat="false" ht="15" hidden="false" customHeight="false" outlineLevel="0" collapsed="false">
      <c r="A17" s="5" t="str">
        <f aca="false">IF(Comptes!A9="","",Comptes!A9)</f>
        <v/>
      </c>
      <c r="B17" s="5" t="str">
        <f aca="false">IF($A17="","",Comptes!B9)</f>
        <v/>
      </c>
      <c r="C17" s="6" t="str">
        <f aca="false">IF($A17="","",SUMIFS(Charges!$F$5:$F$54,Charges!$H$5:$H$54,$A17))</f>
        <v/>
      </c>
      <c r="D17" s="6" t="str">
        <f aca="false">IF($A17="","",SUMIFS(Revenus!$F$5:$F$24,Revenus!$G$5:$G$24,$A17,Revenus!$B$5:$B$24,"&lt;&gt;Salaire"))</f>
        <v/>
      </c>
      <c r="E17" s="11" t="str">
        <f aca="false">IF($A17="","",IF($B17="Joint",IF($C17=0,0,($C17-$D17)*SUMIFS(Charges!$M$5:$M$54,Charges!$H$5:$H$54,$A17)/$C17),0))</f>
        <v/>
      </c>
      <c r="F17" s="11" t="str">
        <f aca="false">IF($A17="","",IF($B17="Joint",IF($C17=0,0,($C17-$D17)*SUMIFS(Charges!$N$5:$N$54,Charges!$H$5:$H$54,$A17)/$C17),0))</f>
        <v/>
      </c>
      <c r="G17" s="6" t="str">
        <f aca="false">IF($A17="","",SUMIFS(Revenus!$F$5:$F$24,Revenus!$G$5:$G$24,$A17,Revenus!$B$5:$B$24,"Salaire"))</f>
        <v/>
      </c>
      <c r="H17" s="6" t="str">
        <f aca="false">IF($A17="","",SUMIFS(Charges!$F$5:$F$54,Charges!$I$5:$I$54,$A17,Charges!$G$5:$G$54,"Virement"))</f>
        <v/>
      </c>
      <c r="I17" s="6" t="str">
        <f aca="false">IF($A17="","",IF($A17=Paramètres!$B$6,SUM($E$13:$E$22),IF($A17=Paramètres!$B$7,SUM($F$13:$F$22),0)))</f>
        <v/>
      </c>
      <c r="J17" s="6" t="str">
        <f aca="false">IF($A17="","",G17+D17+H17+IF(B17="Joint",E17+F17,0)-C17-I17)</f>
        <v/>
      </c>
      <c r="K17" s="6" t="str">
        <f aca="false">IF($A17="","",SUMIFS('Charges perso'!$F$5:$F$44,'Charges perso'!$J$5:$J$44,$A17)+IF(AND($A17=Paramètres!$B$6,Paramètres!$B$15="Forfait"),Paramètres!$B$16,0)+IF(AND($A17=Paramètres!$B$7,Paramètres!$C$15="Forfait"),Paramètres!$C$16,0)+IF($A17=Paramètres!$B$6,$J$5,0)+IF($A17=Paramètres!$B$7,$J$6,0))</f>
        <v/>
      </c>
      <c r="L17" s="6" t="str">
        <f aca="false">IF($A17="","",J17-K17)</f>
        <v/>
      </c>
    </row>
    <row r="18" customFormat="false" ht="15" hidden="false" customHeight="false" outlineLevel="0" collapsed="false">
      <c r="A18" s="5" t="str">
        <f aca="false">IF(Comptes!A10="","",Comptes!A10)</f>
        <v/>
      </c>
      <c r="B18" s="5" t="str">
        <f aca="false">IF($A18="","",Comptes!B10)</f>
        <v/>
      </c>
      <c r="C18" s="6" t="str">
        <f aca="false">IF($A18="","",SUMIFS(Charges!$F$5:$F$54,Charges!$H$5:$H$54,$A18))</f>
        <v/>
      </c>
      <c r="D18" s="6" t="str">
        <f aca="false">IF($A18="","",SUMIFS(Revenus!$F$5:$F$24,Revenus!$G$5:$G$24,$A18,Revenus!$B$5:$B$24,"&lt;&gt;Salaire"))</f>
        <v/>
      </c>
      <c r="E18" s="11" t="str">
        <f aca="false">IF($A18="","",IF($B18="Joint",IF($C18=0,0,($C18-$D18)*SUMIFS(Charges!$M$5:$M$54,Charges!$H$5:$H$54,$A18)/$C18),0))</f>
        <v/>
      </c>
      <c r="F18" s="11" t="str">
        <f aca="false">IF($A18="","",IF($B18="Joint",IF($C18=0,0,($C18-$D18)*SUMIFS(Charges!$N$5:$N$54,Charges!$H$5:$H$54,$A18)/$C18),0))</f>
        <v/>
      </c>
      <c r="G18" s="6" t="str">
        <f aca="false">IF($A18="","",SUMIFS(Revenus!$F$5:$F$24,Revenus!$G$5:$G$24,$A18,Revenus!$B$5:$B$24,"Salaire"))</f>
        <v/>
      </c>
      <c r="H18" s="6" t="str">
        <f aca="false">IF($A18="","",SUMIFS(Charges!$F$5:$F$54,Charges!$I$5:$I$54,$A18,Charges!$G$5:$G$54,"Virement"))</f>
        <v/>
      </c>
      <c r="I18" s="6" t="str">
        <f aca="false">IF($A18="","",IF($A18=Paramètres!$B$6,SUM($E$13:$E$22),IF($A18=Paramètres!$B$7,SUM($F$13:$F$22),0)))</f>
        <v/>
      </c>
      <c r="J18" s="6" t="str">
        <f aca="false">IF($A18="","",G18+D18+H18+IF(B18="Joint",E18+F18,0)-C18-I18)</f>
        <v/>
      </c>
      <c r="K18" s="6" t="str">
        <f aca="false">IF($A18="","",SUMIFS('Charges perso'!$F$5:$F$44,'Charges perso'!$J$5:$J$44,$A18)+IF(AND($A18=Paramètres!$B$6,Paramètres!$B$15="Forfait"),Paramètres!$B$16,0)+IF(AND($A18=Paramètres!$B$7,Paramètres!$C$15="Forfait"),Paramètres!$C$16,0)+IF($A18=Paramètres!$B$6,$J$5,0)+IF($A18=Paramètres!$B$7,$J$6,0))</f>
        <v/>
      </c>
      <c r="L18" s="6" t="str">
        <f aca="false">IF($A18="","",J18-K18)</f>
        <v/>
      </c>
    </row>
    <row r="19" customFormat="false" ht="15" hidden="false" customHeight="false" outlineLevel="0" collapsed="false">
      <c r="A19" s="5" t="str">
        <f aca="false">IF(Comptes!A11="","",Comptes!A11)</f>
        <v/>
      </c>
      <c r="B19" s="5" t="str">
        <f aca="false">IF($A19="","",Comptes!B11)</f>
        <v/>
      </c>
      <c r="C19" s="6" t="str">
        <f aca="false">IF($A19="","",SUMIFS(Charges!$F$5:$F$54,Charges!$H$5:$H$54,$A19))</f>
        <v/>
      </c>
      <c r="D19" s="6" t="str">
        <f aca="false">IF($A19="","",SUMIFS(Revenus!$F$5:$F$24,Revenus!$G$5:$G$24,$A19,Revenus!$B$5:$B$24,"&lt;&gt;Salaire"))</f>
        <v/>
      </c>
      <c r="E19" s="11" t="str">
        <f aca="false">IF($A19="","",IF($B19="Joint",IF($C19=0,0,($C19-$D19)*SUMIFS(Charges!$M$5:$M$54,Charges!$H$5:$H$54,$A19)/$C19),0))</f>
        <v/>
      </c>
      <c r="F19" s="11" t="str">
        <f aca="false">IF($A19="","",IF($B19="Joint",IF($C19=0,0,($C19-$D19)*SUMIFS(Charges!$N$5:$N$54,Charges!$H$5:$H$54,$A19)/$C19),0))</f>
        <v/>
      </c>
      <c r="G19" s="6" t="str">
        <f aca="false">IF($A19="","",SUMIFS(Revenus!$F$5:$F$24,Revenus!$G$5:$G$24,$A19,Revenus!$B$5:$B$24,"Salaire"))</f>
        <v/>
      </c>
      <c r="H19" s="6" t="str">
        <f aca="false">IF($A19="","",SUMIFS(Charges!$F$5:$F$54,Charges!$I$5:$I$54,$A19,Charges!$G$5:$G$54,"Virement"))</f>
        <v/>
      </c>
      <c r="I19" s="6" t="str">
        <f aca="false">IF($A19="","",IF($A19=Paramètres!$B$6,SUM($E$13:$E$22),IF($A19=Paramètres!$B$7,SUM($F$13:$F$22),0)))</f>
        <v/>
      </c>
      <c r="J19" s="6" t="str">
        <f aca="false">IF($A19="","",G19+D19+H19+IF(B19="Joint",E19+F19,0)-C19-I19)</f>
        <v/>
      </c>
      <c r="K19" s="6" t="str">
        <f aca="false">IF($A19="","",SUMIFS('Charges perso'!$F$5:$F$44,'Charges perso'!$J$5:$J$44,$A19)+IF(AND($A19=Paramètres!$B$6,Paramètres!$B$15="Forfait"),Paramètres!$B$16,0)+IF(AND($A19=Paramètres!$B$7,Paramètres!$C$15="Forfait"),Paramètres!$C$16,0)+IF($A19=Paramètres!$B$6,$J$5,0)+IF($A19=Paramètres!$B$7,$J$6,0))</f>
        <v/>
      </c>
      <c r="L19" s="6" t="str">
        <f aca="false">IF($A19="","",J19-K19)</f>
        <v/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  <c r="K20" s="6" t="str">
        <f aca="false">IF($A20="","",SUMIFS('Charges perso'!$F$5:$F$44,'Charges perso'!$J$5:$J$44,$A20)+IF(AND($A20=Paramètres!$B$6,Paramètres!$B$15="Forfait"),Paramètres!$B$16,0)+IF(AND($A20=Paramètres!$B$7,Paramètres!$C$15="Forfait"),Paramètres!$C$16,0)+IF($A20=Paramètres!$B$6,$J$5,0)+IF($A20=Paramètres!$B$7,$J$6,0))</f>
        <v/>
      </c>
      <c r="L20" s="6" t="str">
        <f aca="false">IF($A20="","",J20-K20)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  <c r="K21" s="6" t="str">
        <f aca="false">IF($A21="","",SUMIFS('Charges perso'!$F$5:$F$44,'Charges perso'!$J$5:$J$44,$A21)+IF(AND($A21=Paramètres!$B$6,Paramètres!$B$15="Forfait"),Paramètres!$B$16,0)+IF(AND($A21=Paramètres!$B$7,Paramètres!$C$15="Forfait"),Paramètres!$C$16,0)+IF($A21=Paramètres!$B$6,$J$5,0)+IF($A21=Paramètres!$B$7,$J$6,0))</f>
        <v/>
      </c>
      <c r="L21" s="6" t="str">
        <f aca="false">IF($A21="","",J21-K21)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  <c r="K22" s="6" t="str">
        <f aca="false">IF($A22="","",SUMIFS('Charges perso'!$F$5:$F$44,'Charges perso'!$J$5:$J$44,$A22)+IF(AND($A22=Paramètres!$B$6,Paramètres!$B$15="Forfait"),Paramètres!$B$16,0)+IF(AND($A22=Paramètres!$B$7,Paramètres!$C$15="Forfait"),Paramètres!$C$16,0)+IF($A22=Paramètres!$B$6,$J$5,0)+IF($A22=Paramètres!$B$7,$J$6,0))</f>
        <v/>
      </c>
      <c r="L22" s="6" t="str">
        <f aca="false">IF($A22="","",J22-K22)</f>
        <v/>
      </c>
    </row>
    <row r="23" customFormat="false" ht="15" hidden="false" customHeight="false" outlineLevel="0" collapsed="false">
      <c r="A23" s="8" t="s">
        <v>27</v>
      </c>
      <c r="B23" s="8"/>
      <c r="C23" s="9" t="n">
        <f aca="false">SUM(C13:C22)</f>
        <v>0</v>
      </c>
      <c r="D23" s="9" t="n">
        <f aca="false">SUM(D13:D22)</f>
        <v>0</v>
      </c>
      <c r="E23" s="9" t="n">
        <f aca="false">SUM(E13:E22)</f>
        <v>0</v>
      </c>
      <c r="F23" s="9" t="n">
        <f aca="false">SUM(F13:F22)</f>
        <v>0</v>
      </c>
      <c r="G23" s="9" t="n">
        <f aca="false">SUM(G13:G22)</f>
        <v>0</v>
      </c>
      <c r="H23" s="9" t="n">
        <f aca="false">SUM(H13:H22)</f>
        <v>0</v>
      </c>
      <c r="I23" s="9" t="n">
        <f aca="false">SUM(I13:I22)</f>
        <v>0</v>
      </c>
      <c r="J23" s="9" t="n">
        <f aca="false">SUM(J13:J22)</f>
        <v>0</v>
      </c>
      <c r="K23" s="9" t="n">
        <f aca="false">SUM(K13:K22)</f>
        <v>0</v>
      </c>
      <c r="L23" s="9" t="n">
        <f aca="false">SUM(L13:L22)</f>
        <v>0</v>
      </c>
    </row>
    <row r="25" customFormat="false" ht="15" hidden="false" customHeight="false" outlineLevel="0" collapsed="false">
      <c r="A25" s="2" t="s">
        <v>28</v>
      </c>
    </row>
    <row r="27" customFormat="false" ht="15" hidden="false" customHeight="false" outlineLevel="0" collapsed="false">
      <c r="A27" s="3" t="s">
        <v>29</v>
      </c>
    </row>
    <row r="28" customFormat="false" ht="15" hidden="false" customHeight="false" outlineLevel="0" collapsed="false">
      <c r="A28" s="5" t="s">
        <v>30</v>
      </c>
      <c r="B28" s="6" t="n">
        <f aca="false">SUMIFS(Charges!$F$5:$F$54,Charges!$C$5:$C$54,"Fixe")</f>
        <v>0</v>
      </c>
      <c r="C28" s="7" t="n">
        <f aca="false">IF($B$30=0,0,B28/$B$30)</f>
        <v>0</v>
      </c>
    </row>
    <row r="29" customFormat="false" ht="15" hidden="false" customHeight="false" outlineLevel="0" collapsed="false">
      <c r="A29" s="5" t="s">
        <v>31</v>
      </c>
      <c r="B29" s="6" t="n">
        <f aca="false">SUMIFS(Charges!$F$5:$F$54,Charges!$C$5:$C$54,"Variable")</f>
        <v>0</v>
      </c>
      <c r="C29" s="7" t="n">
        <f aca="false">IF($B$30=0,0,B29/$B$30)</f>
        <v>0</v>
      </c>
    </row>
    <row r="30" customFormat="false" ht="15" hidden="false" customHeight="false" outlineLevel="0" collapsed="false">
      <c r="A30" s="8" t="s">
        <v>27</v>
      </c>
      <c r="B30" s="9" t="n">
        <f aca="false">B28+B29</f>
        <v>0</v>
      </c>
      <c r="C30" s="10" t="n">
        <f aca="false">C28+C29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15" hidden="false" customHeight="false" outlineLevel="0" collapsed="false">
      <c r="D3" s="12" t="s">
        <v>34</v>
      </c>
      <c r="E3" s="12" t="s">
        <v>35</v>
      </c>
    </row>
    <row r="4" customFormat="false" ht="15" hidden="false" customHeight="false" outlineLevel="0" collapsed="false">
      <c r="A4" s="12" t="s">
        <v>36</v>
      </c>
      <c r="B4" s="13" t="s">
        <v>36</v>
      </c>
      <c r="D4" s="5" t="s">
        <v>37</v>
      </c>
      <c r="E4" s="5" t="n">
        <v>1</v>
      </c>
    </row>
    <row r="5" customFormat="false" ht="15" hidden="false" customHeight="false" outlineLevel="0" collapsed="false">
      <c r="A5" s="12" t="s">
        <v>38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/>
      <c r="D6" s="5" t="s">
        <v>41</v>
      </c>
      <c r="E6" s="5" t="n">
        <v>6</v>
      </c>
    </row>
    <row r="7" customFormat="false" ht="15" hidden="false" customHeight="false" outlineLevel="0" collapsed="false">
      <c r="A7" s="12" t="s">
        <v>42</v>
      </c>
      <c r="B7" s="13"/>
      <c r="D7" s="5" t="s">
        <v>43</v>
      </c>
      <c r="E7" s="5" t="n">
        <v>12</v>
      </c>
    </row>
    <row r="9" customFormat="false" ht="30" hidden="false" customHeight="true" outlineLevel="0" collapsed="false">
      <c r="A9" s="14" t="s">
        <v>44</v>
      </c>
      <c r="B9" s="15" t="n">
        <f aca="false">IFERROR(SUMIFS(Revenus!$F$5:$F$24,Revenus!$B$5:$B$24,"Salaire",Revenus!$C$5:$C$24,$B$4)/SUMIFS(Revenus!$F$5:$F$24,Revenus!$B$5:$B$24,"Salaire"),0.5)</f>
        <v>0.5</v>
      </c>
    </row>
    <row r="10" customFormat="false" ht="15" hidden="false" customHeight="false" outlineLevel="0" collapsed="false">
      <c r="A10" s="2" t="s">
        <v>45</v>
      </c>
    </row>
    <row r="12" customFormat="false" ht="15" hidden="false" customHeight="false" outlineLevel="0" collapsed="false">
      <c r="A12" s="2" t="s">
        <v>46</v>
      </c>
    </row>
    <row r="14" customFormat="false" ht="15" hidden="false" customHeight="false" outlineLevel="0" collapsed="false">
      <c r="A14" s="3" t="s">
        <v>47</v>
      </c>
      <c r="B14" s="16" t="str">
        <f aca="false">$B$4</f>
        <v>Personne 1</v>
      </c>
      <c r="C14" s="16" t="str">
        <f aca="false">$B$5</f>
        <v>Personne 2</v>
      </c>
    </row>
    <row r="15" customFormat="false" ht="27.75" hidden="false" customHeight="true" outlineLevel="0" collapsed="false">
      <c r="A15" s="17" t="s">
        <v>48</v>
      </c>
      <c r="B15" s="13" t="s">
        <v>49</v>
      </c>
      <c r="C15" s="13" t="s">
        <v>49</v>
      </c>
    </row>
    <row r="16" customFormat="false" ht="27.75" hidden="false" customHeight="true" outlineLevel="0" collapsed="false">
      <c r="A16" s="17" t="s">
        <v>50</v>
      </c>
      <c r="B16" s="18" t="n">
        <v>0</v>
      </c>
      <c r="C16" s="18" t="n">
        <v>0</v>
      </c>
    </row>
    <row r="17" customFormat="false" ht="27.75" hidden="false" customHeight="true" outlineLevel="0" collapsed="false">
      <c r="A17" s="17" t="s">
        <v>51</v>
      </c>
      <c r="B17" s="13" t="s">
        <v>52</v>
      </c>
      <c r="C17" s="13" t="s">
        <v>52</v>
      </c>
    </row>
    <row r="18" customFormat="false" ht="27.75" hidden="false" customHeight="true" outlineLevel="0" collapsed="false">
      <c r="A18" s="17" t="s">
        <v>53</v>
      </c>
      <c r="B18" s="19" t="n">
        <v>0</v>
      </c>
      <c r="C18" s="19" t="n">
        <v>0</v>
      </c>
    </row>
    <row r="19" customFormat="false" ht="27.75" hidden="false" customHeight="true" outlineLevel="0" collapsed="false">
      <c r="A19" s="17" t="s">
        <v>54</v>
      </c>
      <c r="B19" s="18" t="n">
        <v>0</v>
      </c>
      <c r="C19" s="18" t="n">
        <v>0</v>
      </c>
    </row>
    <row r="20" customFormat="false" ht="15" hidden="false" customHeight="false" outlineLevel="0" collapsed="false">
      <c r="A20" s="2" t="s">
        <v>55</v>
      </c>
    </row>
    <row r="22" customFormat="false" ht="15" hidden="false" customHeight="false" outlineLevel="0" collapsed="false">
      <c r="A22" s="12" t="s">
        <v>56</v>
      </c>
      <c r="B22" s="20" t="n">
        <v>0</v>
      </c>
    </row>
    <row r="23" customFormat="false" ht="15" hidden="false" customHeight="false" outlineLevel="0" collapsed="false">
      <c r="A23" s="2" t="s">
        <v>57</v>
      </c>
    </row>
    <row r="25" customFormat="false" ht="15" hidden="false" customHeight="false" outlineLevel="0" collapsed="false">
      <c r="A25" s="12" t="s">
        <v>58</v>
      </c>
      <c r="B25" s="5" t="s">
        <v>59</v>
      </c>
    </row>
    <row r="26" customFormat="false" ht="15" hidden="false" customHeight="false" outlineLevel="0" collapsed="false">
      <c r="A26" s="2" t="s">
        <v>60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42" hidden="false" customHeight="true" outlineLevel="0" collapsed="false">
      <c r="A4" s="4" t="s">
        <v>63</v>
      </c>
      <c r="B4" s="4" t="s">
        <v>18</v>
      </c>
      <c r="C4" s="4" t="s">
        <v>64</v>
      </c>
      <c r="D4" s="4" t="s">
        <v>65</v>
      </c>
    </row>
    <row r="5" customFormat="false" ht="15" hidden="false" customHeight="false" outlineLevel="0" collapsed="false">
      <c r="A5" s="13"/>
      <c r="B5" s="13"/>
      <c r="C5" s="13"/>
      <c r="D5" s="13"/>
    </row>
    <row r="6" customFormat="false" ht="15" hidden="false" customHeight="false" outlineLevel="0" collapsed="false">
      <c r="A6" s="13"/>
      <c r="B6" s="13"/>
      <c r="C6" s="13"/>
      <c r="D6" s="13"/>
    </row>
    <row r="7" customFormat="false" ht="15" hidden="false" customHeight="false" outlineLevel="0" collapsed="false">
      <c r="A7" s="13"/>
      <c r="B7" s="13"/>
      <c r="C7" s="13"/>
      <c r="D7" s="13"/>
    </row>
    <row r="8" customFormat="false" ht="15" hidden="false" customHeight="false" outlineLevel="0" collapsed="false">
      <c r="A8" s="13"/>
      <c r="B8" s="13"/>
      <c r="C8" s="13"/>
      <c r="D8" s="13"/>
    </row>
    <row r="9" customFormat="false" ht="15" hidden="false" customHeight="false" outlineLevel="0" collapsed="false">
      <c r="A9" s="13"/>
      <c r="B9" s="13"/>
      <c r="C9" s="13"/>
      <c r="D9" s="13"/>
    </row>
    <row r="10" customFormat="false" ht="15" hidden="false" customHeight="false" outlineLevel="0" collapsed="false">
      <c r="A10" s="13"/>
      <c r="B10" s="13"/>
      <c r="C10" s="13"/>
      <c r="D10" s="13"/>
    </row>
    <row r="11" customFormat="false" ht="15" hidden="false" customHeight="false" outlineLevel="0" collapsed="false">
      <c r="A11" s="13"/>
      <c r="B11" s="13"/>
      <c r="C11" s="13"/>
      <c r="D11" s="13"/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67</v>
      </c>
    </row>
    <row r="4" customFormat="false" ht="42" hidden="false" customHeight="true" outlineLevel="0" collapsed="false">
      <c r="A4" s="4" t="s">
        <v>68</v>
      </c>
      <c r="B4" s="4" t="s">
        <v>69</v>
      </c>
      <c r="C4" s="4" t="s">
        <v>70</v>
      </c>
      <c r="D4" s="4" t="s">
        <v>34</v>
      </c>
      <c r="E4" s="4" t="s">
        <v>71</v>
      </c>
      <c r="F4" s="4" t="s">
        <v>72</v>
      </c>
      <c r="G4" s="4" t="s">
        <v>73</v>
      </c>
      <c r="H4" s="4" t="s">
        <v>74</v>
      </c>
      <c r="I4" s="4" t="s">
        <v>75</v>
      </c>
      <c r="J4" s="4" t="s">
        <v>76</v>
      </c>
      <c r="K4" s="4" t="s">
        <v>77</v>
      </c>
      <c r="L4" s="4" t="s">
        <v>78</v>
      </c>
      <c r="M4" s="4" t="str">
        <f aca="false">"Part "&amp;Paramètres!$B$4&amp;" (€/mois)"</f>
        <v>Part Personne 1 (€/mois)</v>
      </c>
      <c r="N4" s="4" t="str">
        <f aca="false">"Part "&amp;Paramètres!$B$5&amp;" (€/mois)"</f>
        <v>Part Personne 2 (€/mois)</v>
      </c>
    </row>
    <row r="5" customFormat="false" ht="15" hidden="false" customHeight="false" outlineLevel="0" collapsed="false">
      <c r="A5" s="13" t="s">
        <v>79</v>
      </c>
      <c r="B5" s="13" t="s">
        <v>80</v>
      </c>
      <c r="C5" s="13" t="s">
        <v>81</v>
      </c>
      <c r="D5" s="13" t="s">
        <v>37</v>
      </c>
      <c r="E5" s="21" t="n">
        <f aca="false">Paramètres!$B$22*SUMIFS(Revenus!$F$5:$F$24,Revenus!$B$5:$B$24,"Salaire")</f>
        <v>0</v>
      </c>
      <c r="F5" s="6" t="n">
        <f aca="false">IF(A5="","",IFERROR(E5/INDEX(Paramètres!$E$4:$E$7,MATCH(D5,Paramètres!$D$4:$D$7,0)),0))</f>
        <v>0</v>
      </c>
      <c r="G5" s="13" t="s">
        <v>82</v>
      </c>
      <c r="H5" s="13"/>
      <c r="I5" s="13"/>
      <c r="J5" s="13"/>
      <c r="K5" s="13" t="s">
        <v>83</v>
      </c>
      <c r="L5" s="7" t="n">
        <f aca="false">IF(A5="","",IF(K5="50/50",0.5,IF(K5="Prorata salaires",Paramètres!$B$9,IF(K5="Personne 1 seul",1,IF(K5="Personne 2 seul",0,0.5)))))</f>
        <v>0.5</v>
      </c>
      <c r="M5" s="6" t="n">
        <f aca="false">IF(A5="","",F5*L5)</f>
        <v>0</v>
      </c>
      <c r="N5" s="6" t="n">
        <f aca="false">IF(A5="","",F5-M5)</f>
        <v>0</v>
      </c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  <c r="J6" s="13"/>
      <c r="K6" s="13"/>
      <c r="L6" s="7" t="str">
        <f aca="false">IF(A6="","",IF(K6="50/50",0.5,IF(K6="Prorata salaires",Paramètres!$B$9,IF(K6="Personne 1 seul",1,IF(K6="Personne 2 seul",0,0.5)))))</f>
        <v/>
      </c>
      <c r="M6" s="6" t="str">
        <f aca="false">IF(A6="","",F6*L6)</f>
        <v/>
      </c>
      <c r="N6" s="6" t="str">
        <f aca="false">IF(A6="","",F6-M6)</f>
        <v/>
      </c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  <c r="J7" s="13"/>
      <c r="K7" s="13"/>
      <c r="L7" s="7" t="str">
        <f aca="false">IF(A7="","",IF(K7="50/50",0.5,IF(K7="Prorata salaires",Paramètres!$B$9,IF(K7="Personne 1 seul",1,IF(K7="Personne 2 seul",0,0.5)))))</f>
        <v/>
      </c>
      <c r="M7" s="6" t="str">
        <f aca="false">IF(A7="","",F7*L7)</f>
        <v/>
      </c>
      <c r="N7" s="6" t="str">
        <f aca="false">IF(A7="","",F7-M7)</f>
        <v/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  <c r="J8" s="13"/>
      <c r="K8" s="13"/>
      <c r="L8" s="7" t="str">
        <f aca="false">IF(A8="","",IF(K8="50/50",0.5,IF(K8="Prorata salaires",Paramètres!$B$9,IF(K8="Personne 1 seul",1,IF(K8="Personne 2 seul",0,0.5)))))</f>
        <v/>
      </c>
      <c r="M8" s="6" t="str">
        <f aca="false">IF(A8="","",F8*L8)</f>
        <v/>
      </c>
      <c r="N8" s="6" t="str">
        <f aca="false">IF(A8="","",F8-M8)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  <c r="J9" s="13"/>
      <c r="K9" s="13"/>
      <c r="L9" s="7" t="str">
        <f aca="false">IF(A9="","",IF(K9="50/50",0.5,IF(K9="Prorata salaires",Paramètres!$B$9,IF(K9="Personne 1 seul",1,IF(K9="Personne 2 seul",0,0.5)))))</f>
        <v/>
      </c>
      <c r="M9" s="6" t="str">
        <f aca="false">IF(A9="","",F9*L9)</f>
        <v/>
      </c>
      <c r="N9" s="6" t="str">
        <f aca="false">IF(A9="","",F9-M9)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  <c r="J10" s="13"/>
      <c r="K10" s="13"/>
      <c r="L10" s="7" t="str">
        <f aca="false">IF(A10="","",IF(K10="50/50",0.5,IF(K10="Prorata salaires",Paramètres!$B$9,IF(K10="Personne 1 seul",1,IF(K10="Personne 2 seul",0,0.5)))))</f>
        <v/>
      </c>
      <c r="M10" s="6" t="str">
        <f aca="false">IF(A10="","",F10*L10)</f>
        <v/>
      </c>
      <c r="N10" s="6" t="str">
        <f aca="false">IF(A10="","",F10-M10)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  <c r="J11" s="13"/>
      <c r="K11" s="13"/>
      <c r="L11" s="7" t="str">
        <f aca="false">IF(A11="","",IF(K11="50/50",0.5,IF(K11="Prorata salaires",Paramètres!$B$9,IF(K11="Personne 1 seul",1,IF(K11="Personne 2 seul",0,0.5)))))</f>
        <v/>
      </c>
      <c r="M11" s="6" t="str">
        <f aca="false">IF(A11="","",F11*L11)</f>
        <v/>
      </c>
      <c r="N11" s="6" t="str">
        <f aca="false">IF(A11="","",F11-M11)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  <c r="J12" s="13"/>
      <c r="K12" s="13"/>
      <c r="L12" s="7" t="str">
        <f aca="false">IF(A12="","",IF(K12="50/50",0.5,IF(K12="Prorata salaires",Paramètres!$B$9,IF(K12="Personne 1 seul",1,IF(K12="Personne 2 seul",0,0.5)))))</f>
        <v/>
      </c>
      <c r="M12" s="6" t="str">
        <f aca="false">IF(A12="","",F12*L12)</f>
        <v/>
      </c>
      <c r="N12" s="6" t="str">
        <f aca="false">IF(A12="","",F12-M12)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  <c r="J13" s="13"/>
      <c r="K13" s="13"/>
      <c r="L13" s="7" t="str">
        <f aca="false">IF(A13="","",IF(K13="50/50",0.5,IF(K13="Prorata salaires",Paramètres!$B$9,IF(K13="Personne 1 seul",1,IF(K13="Personne 2 seul",0,0.5)))))</f>
        <v/>
      </c>
      <c r="M13" s="6" t="str">
        <f aca="false">IF(A13="","",F13*L13)</f>
        <v/>
      </c>
      <c r="N13" s="6" t="str">
        <f aca="false">IF(A13="","",F13-M13)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  <c r="J14" s="13"/>
      <c r="K14" s="13"/>
      <c r="L14" s="7" t="str">
        <f aca="false">IF(A14="","",IF(K14="50/50",0.5,IF(K14="Prorata salaires",Paramètres!$B$9,IF(K14="Personne 1 seul",1,IF(K14="Personne 2 seul",0,0.5)))))</f>
        <v/>
      </c>
      <c r="M14" s="6" t="str">
        <f aca="false">IF(A14="","",F14*L14)</f>
        <v/>
      </c>
      <c r="N14" s="6" t="str">
        <f aca="false">IF(A14="","",F14-M14)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  <c r="J15" s="13"/>
      <c r="K15" s="13"/>
      <c r="L15" s="7" t="str">
        <f aca="false">IF(A15="","",IF(K15="50/50",0.5,IF(K15="Prorata salaires",Paramètres!$B$9,IF(K15="Personne 1 seul",1,IF(K15="Personne 2 seul",0,0.5)))))</f>
        <v/>
      </c>
      <c r="M15" s="6" t="str">
        <f aca="false">IF(A15="","",F15*L15)</f>
        <v/>
      </c>
      <c r="N15" s="6" t="str">
        <f aca="false">IF(A15="","",F15-M15)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  <c r="J16" s="13"/>
      <c r="K16" s="13"/>
      <c r="L16" s="7" t="str">
        <f aca="false">IF(A16="","",IF(K16="50/50",0.5,IF(K16="Prorata salaires",Paramètres!$B$9,IF(K16="Personne 1 seul",1,IF(K16="Personne 2 seul",0,0.5)))))</f>
        <v/>
      </c>
      <c r="M16" s="6" t="str">
        <f aca="false">IF(A16="","",F16*L16)</f>
        <v/>
      </c>
      <c r="N16" s="6" t="str">
        <f aca="false">IF(A16="","",F16-M16)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  <c r="J17" s="13"/>
      <c r="K17" s="13"/>
      <c r="L17" s="7" t="str">
        <f aca="false">IF(A17="","",IF(K17="50/50",0.5,IF(K17="Prorata salaires",Paramètres!$B$9,IF(K17="Personne 1 seul",1,IF(K17="Personne 2 seul",0,0.5)))))</f>
        <v/>
      </c>
      <c r="M17" s="6" t="str">
        <f aca="false">IF(A17="","",F17*L17)</f>
        <v/>
      </c>
      <c r="N17" s="6" t="str">
        <f aca="false">IF(A17="","",F17-M17)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13"/>
      <c r="K18" s="13"/>
      <c r="L18" s="7" t="str">
        <f aca="false">IF(A18="","",IF(K18="50/50",0.5,IF(K18="Prorata salaires",Paramètres!$B$9,IF(K18="Personne 1 seul",1,IF(K18="Personne 2 seul",0,0.5)))))</f>
        <v/>
      </c>
      <c r="M18" s="6" t="str">
        <f aca="false">IF(A18="","",F18*L18)</f>
        <v/>
      </c>
      <c r="N18" s="6" t="str">
        <f aca="false">IF(A18="","",F18-M18)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84</v>
      </c>
      <c r="F55" s="9" t="n">
        <f aca="false">SUM(F5:F54)</f>
        <v>0</v>
      </c>
      <c r="M55" s="9" t="n">
        <f aca="false">SUM(M5:M54)</f>
        <v>0</v>
      </c>
      <c r="N55" s="9" t="n">
        <f aca="false">SUM(N5:N54)</f>
        <v>0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42" hidden="false" customHeight="true" outlineLevel="0" collapsed="false">
      <c r="A4" s="4" t="s">
        <v>68</v>
      </c>
      <c r="B4" s="4" t="s">
        <v>18</v>
      </c>
      <c r="C4" s="4" t="s">
        <v>3</v>
      </c>
      <c r="D4" s="4" t="s">
        <v>71</v>
      </c>
      <c r="E4" s="4" t="s">
        <v>34</v>
      </c>
      <c r="F4" s="4" t="s">
        <v>72</v>
      </c>
      <c r="G4" s="4" t="s">
        <v>87</v>
      </c>
      <c r="H4" s="4" t="s">
        <v>76</v>
      </c>
    </row>
    <row r="5" customFormat="false" ht="15" hidden="false" customHeight="false" outlineLevel="0" collapsed="false">
      <c r="A5" s="13"/>
      <c r="B5" s="13"/>
      <c r="C5" s="13"/>
      <c r="D5" s="18"/>
      <c r="E5" s="13"/>
      <c r="F5" s="6" t="str">
        <f aca="false">IF(A5="","",IFERROR(D5/INDEX(Paramètres!$E$4:$E$7,MATCH(E5,Paramètres!$D$4:$D$7,0)),0))</f>
        <v/>
      </c>
      <c r="G5" s="13"/>
      <c r="H5" s="13"/>
    </row>
    <row r="6" customFormat="false" ht="15" hidden="false" customHeight="false" outlineLevel="0" collapsed="false">
      <c r="A6" s="13"/>
      <c r="B6" s="13"/>
      <c r="C6" s="13"/>
      <c r="D6" s="18"/>
      <c r="E6" s="13"/>
      <c r="F6" s="6" t="str">
        <f aca="false">IF(A6="","",IFERROR(D6/INDEX(Paramètres!$E$4:$E$7,MATCH(E6,Paramètres!$D$4:$D$7,0)),0))</f>
        <v/>
      </c>
      <c r="G6" s="13"/>
      <c r="H6" s="13"/>
    </row>
    <row r="7" customFormat="false" ht="15" hidden="false" customHeight="false" outlineLevel="0" collapsed="false">
      <c r="A7" s="13"/>
      <c r="B7" s="13"/>
      <c r="C7" s="13"/>
      <c r="D7" s="18"/>
      <c r="E7" s="13"/>
      <c r="F7" s="6" t="str">
        <f aca="false">IF(A7="","",IFERROR(D7/INDEX(Paramètres!$E$4:$E$7,MATCH(E7,Paramètres!$D$4:$D$7,0)),0))</f>
        <v/>
      </c>
      <c r="G7" s="13"/>
      <c r="H7" s="13"/>
    </row>
    <row r="8" customFormat="false" ht="15" hidden="false" customHeight="false" outlineLevel="0" collapsed="false">
      <c r="A8" s="13"/>
      <c r="B8" s="13"/>
      <c r="C8" s="13"/>
      <c r="D8" s="18"/>
      <c r="E8" s="13"/>
      <c r="F8" s="6" t="str">
        <f aca="false">IF(A8="","",IFERROR(D8/INDEX(Paramètres!$E$4:$E$7,MATCH(E8,Paramètres!$D$4:$D$7,0)),0))</f>
        <v/>
      </c>
      <c r="G8" s="13"/>
      <c r="H8" s="13"/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84</v>
      </c>
      <c r="F25" s="9" t="n">
        <f aca="false">SUM(F5:F24)</f>
        <v>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42" hidden="false" customHeight="true" outlineLevel="0" collapsed="false">
      <c r="A4" s="4" t="s">
        <v>68</v>
      </c>
      <c r="B4" s="4" t="s">
        <v>3</v>
      </c>
      <c r="C4" s="4" t="s">
        <v>69</v>
      </c>
      <c r="D4" s="4" t="s">
        <v>34</v>
      </c>
      <c r="E4" s="4" t="s">
        <v>71</v>
      </c>
      <c r="F4" s="4" t="s">
        <v>72</v>
      </c>
      <c r="G4" s="4" t="s">
        <v>73</v>
      </c>
      <c r="H4" s="4" t="s">
        <v>74</v>
      </c>
      <c r="I4" s="4" t="s">
        <v>76</v>
      </c>
      <c r="J4" s="4" t="s">
        <v>90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  <c r="G5" s="13"/>
      <c r="H5" s="13"/>
      <c r="I5" s="13"/>
      <c r="J5" s="5" t="str">
        <f aca="false">IF(OR($A5="",AND($B5&lt;&gt;Paramètres!$B$4,$B5&lt;&gt;Paramètres!$B$5)),"",IF(IF($B5=Paramètres!$B$4,Paramètres!$B$15,Paramètres!$C$15)="Forfait","",IF($H5&lt;&gt;"",$H5,IF($B5=Paramètres!$B$4,Paramètres!$B$6,Paramètres!$B$7))))</f>
        <v/>
      </c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  <c r="J6" s="5" t="str">
        <f aca="false">IF(OR($A6="",AND($B6&lt;&gt;Paramètres!$B$4,$B6&lt;&gt;Paramètres!$B$5)),"",IF(IF($B6=Paramètres!$B$4,Paramètres!$B$15,Paramètres!$C$15)="Forfait","",IF($H6&lt;&gt;"",$H6,IF($B6=Paramètres!$B$4,Paramètres!$B$6,Paramètres!$B$7))))</f>
        <v/>
      </c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  <c r="J7" s="5" t="str">
        <f aca="false">IF(OR($A7="",AND($B7&lt;&gt;Paramètres!$B$4,$B7&lt;&gt;Paramètres!$B$5)),"",IF(IF($B7=Paramètres!$B$4,Paramètres!$B$15,Paramètres!$C$15)="Forfait","",IF($H7&lt;&gt;"",$H7,IF($B7=Paramètres!$B$4,Paramètres!$B$6,Paramètres!$B$7))))</f>
        <v/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  <c r="J8" s="5" t="str">
        <f aca="false">IF(OR($A8="",AND($B8&lt;&gt;Paramètres!$B$4,$B8&lt;&gt;Paramètres!$B$5)),"",IF(IF($B8=Paramètres!$B$4,Paramètres!$B$15,Paramètres!$C$15)="Forfait","",IF($H8&lt;&gt;"",$H8,IF($B8=Paramètres!$B$4,Paramètres!$B$6,Paramètres!$B$7))))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  <c r="J9" s="5" t="str">
        <f aca="false">IF(OR($A9="",AND($B9&lt;&gt;Paramètres!$B$4,$B9&lt;&gt;Paramètres!$B$5)),"",IF(IF($B9=Paramètres!$B$4,Paramètres!$B$15,Paramètres!$C$15)="Forfait","",IF($H9&lt;&gt;"",$H9,IF($B9=Paramètres!$B$4,Paramètres!$B$6,Paramètres!$B$7))))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  <c r="J10" s="5" t="str">
        <f aca="false">IF(OR($A10="",AND($B10&lt;&gt;Paramètres!$B$4,$B10&lt;&gt;Paramètres!$B$5)),"",IF(IF($B10=Paramètres!$B$4,Paramètres!$B$15,Paramètres!$C$15)="Forfait","",IF($H10&lt;&gt;"",$H10,IF($B10=Paramètres!$B$4,Paramètres!$B$6,Paramètres!$B$7))))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  <c r="J11" s="5" t="str">
        <f aca="false">IF(OR($A11="",AND($B11&lt;&gt;Paramètres!$B$4,$B11&lt;&gt;Paramètres!$B$5)),"",IF(IF($B11=Paramètres!$B$4,Paramètres!$B$15,Paramètres!$C$15)="Forfait","",IF($H11&lt;&gt;"",$H11,IF($B11=Paramètres!$B$4,Paramètres!$B$6,Paramètres!$B$7))))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  <c r="J12" s="5" t="str">
        <f aca="false">IF(OR($A12="",AND($B12&lt;&gt;Paramètres!$B$4,$B12&lt;&gt;Paramètres!$B$5)),"",IF(IF($B12=Paramètres!$B$4,Paramètres!$B$15,Paramètres!$C$15)="Forfait","",IF($H12&lt;&gt;"",$H12,IF($B12=Paramètres!$B$4,Paramètres!$B$6,Paramètres!$B$7))))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  <c r="J13" s="5" t="str">
        <f aca="false">IF(OR($A13="",AND($B13&lt;&gt;Paramètres!$B$4,$B13&lt;&gt;Paramètres!$B$5)),"",IF(IF($B13=Paramètres!$B$4,Paramètres!$B$15,Paramètres!$C$15)="Forfait","",IF($H13&lt;&gt;"",$H13,IF($B13=Paramètres!$B$4,Paramètres!$B$6,Paramètres!$B$7))))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  <c r="J14" s="5" t="str">
        <f aca="false">IF(OR($A14="",AND($B14&lt;&gt;Paramètres!$B$4,$B14&lt;&gt;Paramètres!$B$5)),"",IF(IF($B14=Paramètres!$B$4,Paramètres!$B$15,Paramètres!$C$15)="Forfait","",IF($H14&lt;&gt;"",$H14,IF($B14=Paramètres!$B$4,Paramètres!$B$6,Paramètres!$B$7))))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  <c r="J15" s="5" t="str">
        <f aca="false">IF(OR($A15="",AND($B15&lt;&gt;Paramètres!$B$4,$B15&lt;&gt;Paramètres!$B$5)),"",IF(IF($B15=Paramètres!$B$4,Paramètres!$B$15,Paramètres!$C$15)="Forfait","",IF($H15&lt;&gt;"",$H15,IF($B15=Paramètres!$B$4,Paramètres!$B$6,Paramètres!$B$7))))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  <c r="J16" s="5" t="str">
        <f aca="false">IF(OR($A16="",AND($B16&lt;&gt;Paramètres!$B$4,$B16&lt;&gt;Paramètres!$B$5)),"",IF(IF($B16=Paramètres!$B$4,Paramètres!$B$15,Paramètres!$C$15)="Forfait","",IF($H16&lt;&gt;"",$H16,IF($B16=Paramètres!$B$4,Paramètres!$B$6,Paramètres!$B$7))))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  <c r="J17" s="5" t="str">
        <f aca="false">IF(OR($A17="",AND($B17&lt;&gt;Paramètres!$B$4,$B17&lt;&gt;Paramètres!$B$5)),"",IF(IF($B17=Paramètres!$B$4,Paramètres!$B$15,Paramètres!$C$15)="Forfait","",IF($H17&lt;&gt;"",$H17,IF($B17=Paramètres!$B$4,Paramètres!$B$6,Paramètres!$B$7))))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5" t="str">
        <f aca="false">IF(OR($A18="",AND($B18&lt;&gt;Paramètres!$B$4,$B18&lt;&gt;Paramètres!$B$5)),"",IF(IF($B18=Paramètres!$B$4,Paramètres!$B$15,Paramètres!$C$15)="Forfait","",IF($H18&lt;&gt;"",$H18,IF($B18=Paramètres!$B$4,Paramètres!$B$6,Paramètres!$B$7))))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5" t="str">
        <f aca="false">IF(OR($A19="",AND($B19&lt;&gt;Paramètres!$B$4,$B19&lt;&gt;Paramètres!$B$5)),"",IF(IF($B19=Paramètres!$B$4,Paramètres!$B$15,Paramètres!$C$15)="Forfait","",IF($H19&lt;&gt;"",$H19,IF($B19=Paramètres!$B$4,Paramètres!$B$6,Paramètres!$B$7))))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5" t="str">
        <f aca="false">IF(OR($A20="",AND($B20&lt;&gt;Paramètres!$B$4,$B20&lt;&gt;Paramètres!$B$5)),"",IF(IF($B20=Paramètres!$B$4,Paramètres!$B$15,Paramètres!$C$15)="Forfait","",IF($H20&lt;&gt;"",$H20,IF($B20=Paramètres!$B$4,Paramètres!$B$6,Paramètres!$B$7))))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5" t="str">
        <f aca="false">IF(OR($A21="",AND($B21&lt;&gt;Paramètres!$B$4,$B21&lt;&gt;Paramètres!$B$5)),"",IF(IF($B21=Paramètres!$B$4,Paramètres!$B$15,Paramètres!$C$15)="Forfait","",IF($H21&lt;&gt;"",$H21,IF($B21=Paramètres!$B$4,Paramètres!$B$6,Paramètres!$B$7))))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5" t="str">
        <f aca="false">IF(OR($A22="",AND($B22&lt;&gt;Paramètres!$B$4,$B22&lt;&gt;Paramètres!$B$5)),"",IF(IF($B22=Paramètres!$B$4,Paramètres!$B$15,Paramètres!$C$15)="Forfait","",IF($H22&lt;&gt;"",$H22,IF($B22=Paramètres!$B$4,Paramètres!$B$6,Paramètres!$B$7))))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5" t="str">
        <f aca="false">IF(OR($A23="",AND($B23&lt;&gt;Paramètres!$B$4,$B23&lt;&gt;Paramètres!$B$5)),"",IF(IF($B23=Paramètres!$B$4,Paramètres!$B$15,Paramètres!$C$15)="Forfait","",IF($H23&lt;&gt;"",$H23,IF($B23=Paramètres!$B$4,Paramètres!$B$6,Paramètres!$B$7))))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5" t="str">
        <f aca="false">IF(OR($A24="",AND($B24&lt;&gt;Paramètres!$B$4,$B24&lt;&gt;Paramètres!$B$5)),"",IF(IF($B24=Paramètres!$B$4,Paramètres!$B$15,Paramètres!$C$15)="Forfait","",IF($H24&lt;&gt;"",$H24,IF($B24=Paramètres!$B$4,Paramètres!$B$6,Paramètres!$B$7))))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5" t="str">
        <f aca="false">IF(OR($A25="",AND($B25&lt;&gt;Paramètres!$B$4,$B25&lt;&gt;Paramètres!$B$5)),"",IF(IF($B25=Paramètres!$B$4,Paramètres!$B$15,Paramètres!$C$15)="Forfait","",IF($H25&lt;&gt;"",$H25,IF($B25=Paramètres!$B$4,Paramètres!$B$6,Paramètres!$B$7))))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5" t="str">
        <f aca="false">IF(OR($A26="",AND($B26&lt;&gt;Paramètres!$B$4,$B26&lt;&gt;Paramètres!$B$5)),"",IF(IF($B26=Paramètres!$B$4,Paramètres!$B$15,Paramètres!$C$15)="Forfait","",IF($H26&lt;&gt;"",$H26,IF($B26=Paramètres!$B$4,Paramètres!$B$6,Paramètres!$B$7))))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5" t="str">
        <f aca="false">IF(OR($A27="",AND($B27&lt;&gt;Paramètres!$B$4,$B27&lt;&gt;Paramètres!$B$5)),"",IF(IF($B27=Paramètres!$B$4,Paramètres!$B$15,Paramètres!$C$15)="Forfait","",IF($H27&lt;&gt;"",$H27,IF($B27=Paramètres!$B$4,Paramètres!$B$6,Paramètres!$B$7))))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5" t="str">
        <f aca="false">IF(OR($A28="",AND($B28&lt;&gt;Paramètres!$B$4,$B28&lt;&gt;Paramètres!$B$5)),"",IF(IF($B28=Paramètres!$B$4,Paramètres!$B$15,Paramètres!$C$15)="Forfait","",IF($H28&lt;&gt;"",$H28,IF($B28=Paramètres!$B$4,Paramètres!$B$6,Paramètres!$B$7))))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5" t="str">
        <f aca="false">IF(OR($A29="",AND($B29&lt;&gt;Paramètres!$B$4,$B29&lt;&gt;Paramètres!$B$5)),"",IF(IF($B29=Paramètres!$B$4,Paramètres!$B$15,Paramètres!$C$15)="Forfait","",IF($H29&lt;&gt;"",$H29,IF($B29=Paramètres!$B$4,Paramètres!$B$6,Paramètres!$B$7))))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5" t="str">
        <f aca="false">IF(OR($A30="",AND($B30&lt;&gt;Paramètres!$B$4,$B30&lt;&gt;Paramètres!$B$5)),"",IF(IF($B30=Paramètres!$B$4,Paramètres!$B$15,Paramètres!$C$15)="Forfait","",IF($H30&lt;&gt;"",$H30,IF($B30=Paramètres!$B$4,Paramètres!$B$6,Paramètres!$B$7))))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5" t="str">
        <f aca="false">IF(OR($A31="",AND($B31&lt;&gt;Paramètres!$B$4,$B31&lt;&gt;Paramètres!$B$5)),"",IF(IF($B31=Paramètres!$B$4,Paramètres!$B$15,Paramètres!$C$15)="Forfait","",IF($H31&lt;&gt;"",$H31,IF($B31=Paramètres!$B$4,Paramètres!$B$6,Paramètres!$B$7))))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5" t="str">
        <f aca="false">IF(OR($A32="",AND($B32&lt;&gt;Paramètres!$B$4,$B32&lt;&gt;Paramètres!$B$5)),"",IF(IF($B32=Paramètres!$B$4,Paramètres!$B$15,Paramètres!$C$15)="Forfait","",IF($H32&lt;&gt;"",$H32,IF($B32=Paramètres!$B$4,Paramètres!$B$6,Paramètres!$B$7))))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5" t="str">
        <f aca="false">IF(OR($A33="",AND($B33&lt;&gt;Paramètres!$B$4,$B33&lt;&gt;Paramètres!$B$5)),"",IF(IF($B33=Paramètres!$B$4,Paramètres!$B$15,Paramètres!$C$15)="Forfait","",IF($H33&lt;&gt;"",$H33,IF($B33=Paramètres!$B$4,Paramètres!$B$6,Paramètres!$B$7))))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5" t="str">
        <f aca="false">IF(OR($A34="",AND($B34&lt;&gt;Paramètres!$B$4,$B34&lt;&gt;Paramètres!$B$5)),"",IF(IF($B34=Paramètres!$B$4,Paramètres!$B$15,Paramètres!$C$15)="Forfait","",IF($H34&lt;&gt;"",$H34,IF($B34=Paramètres!$B$4,Paramètres!$B$6,Paramètres!$B$7))))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5" t="str">
        <f aca="false">IF(OR($A35="",AND($B35&lt;&gt;Paramètres!$B$4,$B35&lt;&gt;Paramètres!$B$5)),"",IF(IF($B35=Paramètres!$B$4,Paramètres!$B$15,Paramètres!$C$15)="Forfait","",IF($H35&lt;&gt;"",$H35,IF($B35=Paramètres!$B$4,Paramètres!$B$6,Paramètres!$B$7))))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5" t="str">
        <f aca="false">IF(OR($A36="",AND($B36&lt;&gt;Paramètres!$B$4,$B36&lt;&gt;Paramètres!$B$5)),"",IF(IF($B36=Paramètres!$B$4,Paramètres!$B$15,Paramètres!$C$15)="Forfait","",IF($H36&lt;&gt;"",$H36,IF($B36=Paramètres!$B$4,Paramètres!$B$6,Paramètres!$B$7))))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5" t="str">
        <f aca="false">IF(OR($A37="",AND($B37&lt;&gt;Paramètres!$B$4,$B37&lt;&gt;Paramètres!$B$5)),"",IF(IF($B37=Paramètres!$B$4,Paramètres!$B$15,Paramètres!$C$15)="Forfait","",IF($H37&lt;&gt;"",$H37,IF($B37=Paramètres!$B$4,Paramètres!$B$6,Paramètres!$B$7))))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5" t="str">
        <f aca="false">IF(OR($A38="",AND($B38&lt;&gt;Paramètres!$B$4,$B38&lt;&gt;Paramètres!$B$5)),"",IF(IF($B38=Paramètres!$B$4,Paramètres!$B$15,Paramètres!$C$15)="Forfait","",IF($H38&lt;&gt;"",$H38,IF($B38=Paramètres!$B$4,Paramètres!$B$6,Paramètres!$B$7))))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5" t="str">
        <f aca="false">IF(OR($A39="",AND($B39&lt;&gt;Paramètres!$B$4,$B39&lt;&gt;Paramètres!$B$5)),"",IF(IF($B39=Paramètres!$B$4,Paramètres!$B$15,Paramètres!$C$15)="Forfait","",IF($H39&lt;&gt;"",$H39,IF($B39=Paramètres!$B$4,Paramètres!$B$6,Paramètres!$B$7))))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5" t="str">
        <f aca="false">IF(OR($A40="",AND($B40&lt;&gt;Paramètres!$B$4,$B40&lt;&gt;Paramètres!$B$5)),"",IF(IF($B40=Paramètres!$B$4,Paramètres!$B$15,Paramètres!$C$15)="Forfait","",IF($H40&lt;&gt;"",$H40,IF($B40=Paramètres!$B$4,Paramètres!$B$6,Paramètres!$B$7))))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5" t="str">
        <f aca="false">IF(OR($A41="",AND($B41&lt;&gt;Paramètres!$B$4,$B41&lt;&gt;Paramètres!$B$5)),"",IF(IF($B41=Paramètres!$B$4,Paramètres!$B$15,Paramètres!$C$15)="Forfait","",IF($H41&lt;&gt;"",$H41,IF($B41=Paramètres!$B$4,Paramètres!$B$6,Paramètres!$B$7))))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5" t="str">
        <f aca="false">IF(OR($A42="",AND($B42&lt;&gt;Paramètres!$B$4,$B42&lt;&gt;Paramètres!$B$5)),"",IF(IF($B42=Paramètres!$B$4,Paramètres!$B$15,Paramètres!$C$15)="Forfait","",IF($H42&lt;&gt;"",$H42,IF($B42=Paramètres!$B$4,Paramètres!$B$6,Paramètres!$B$7))))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5" t="str">
        <f aca="false">IF(OR($A43="",AND($B43&lt;&gt;Paramètres!$B$4,$B43&lt;&gt;Paramètres!$B$5)),"",IF(IF($B43=Paramètres!$B$4,Paramètres!$B$15,Paramètres!$C$15)="Forfait","",IF($H43&lt;&gt;"",$H43,IF($B43=Paramètres!$B$4,Paramètres!$B$6,Paramètres!$B$7))))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5" t="str">
        <f aca="false">IF(OR($A44="",AND($B44&lt;&gt;Paramètres!$B$4,$B44&lt;&gt;Paramètres!$B$5)),"",IF(IF($B44=Paramètres!$B$4,Paramètres!$B$15,Paramètres!$C$15)="Forfait","",IF($H44&lt;&gt;"",$H44,IF($B44=Paramètres!$B$4,Paramètres!$B$6,Paramètres!$B$7))))</f>
        <v/>
      </c>
    </row>
    <row r="45" customFormat="false" ht="15" hidden="false" customHeight="false" outlineLevel="0" collapsed="false">
      <c r="A45" s="22" t="s">
        <v>84</v>
      </c>
      <c r="F45" s="9" t="n">
        <f aca="false">SUM(F5:F44)</f>
        <v>0</v>
      </c>
    </row>
  </sheetData>
  <dataValidations count="4"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23" t="s">
        <v>93</v>
      </c>
      <c r="B4" s="6" t="n">
        <f aca="false">SUMIFS(Charges!$F$5:$F$54,Charges!$B$5:$B$54,"Imprévus")</f>
        <v>0</v>
      </c>
    </row>
    <row r="5" customFormat="false" ht="15" hidden="false" customHeight="false" outlineLevel="0" collapsed="false">
      <c r="A5" s="23" t="s">
        <v>94</v>
      </c>
      <c r="B5" s="24"/>
    </row>
    <row r="6" customFormat="false" ht="15" hidden="false" customHeight="false" outlineLevel="0" collapsed="false">
      <c r="A6" s="23" t="s">
        <v>95</v>
      </c>
      <c r="B6" s="18" t="n">
        <v>0</v>
      </c>
    </row>
    <row r="7" customFormat="false" ht="15" hidden="false" customHeight="false" outlineLevel="0" collapsed="false">
      <c r="A7" s="23" t="s">
        <v>96</v>
      </c>
      <c r="B7" s="25" t="n">
        <f aca="true">IF(B5="",0,MAX(0,(YEAR(TODAY())-YEAR(B5))*12+MONTH(TODAY())-MONTH(B5)+1))</f>
        <v>0</v>
      </c>
    </row>
    <row r="8" customFormat="false" ht="15" hidden="false" customHeight="false" outlineLevel="0" collapsed="false">
      <c r="A8" s="23" t="s">
        <v>97</v>
      </c>
      <c r="B8" s="6" t="n">
        <f aca="false">B6+B4*B7</f>
        <v>0</v>
      </c>
    </row>
    <row r="9" customFormat="false" ht="15" hidden="false" customHeight="false" outlineLevel="0" collapsed="false">
      <c r="A9" s="23" t="s">
        <v>98</v>
      </c>
      <c r="B9" s="6" t="n">
        <f aca="false">SUM(C13:C62)</f>
        <v>0</v>
      </c>
    </row>
    <row r="10" customFormat="false" ht="15" hidden="false" customHeight="false" outlineLevel="0" collapsed="false">
      <c r="A10" s="12" t="s">
        <v>99</v>
      </c>
      <c r="B10" s="9" t="n">
        <f aca="false">B8-B9</f>
        <v>0</v>
      </c>
    </row>
    <row r="11" customFormat="false" ht="15" hidden="false" customHeight="false" outlineLevel="0" collapsed="false">
      <c r="A11" s="2" t="s">
        <v>100</v>
      </c>
    </row>
    <row r="12" customFormat="false" ht="42" hidden="false" customHeight="true" outlineLevel="0" collapsed="false">
      <c r="A12" s="4" t="s">
        <v>101</v>
      </c>
      <c r="B12" s="4" t="s">
        <v>68</v>
      </c>
      <c r="C12" s="4" t="s">
        <v>102</v>
      </c>
      <c r="D12" s="4" t="s">
        <v>103</v>
      </c>
    </row>
    <row r="13" customFormat="false" ht="15" hidden="false" customHeight="false" outlineLevel="0" collapsed="false">
      <c r="A13" s="24"/>
      <c r="B13" s="13"/>
      <c r="C13" s="18"/>
      <c r="D13" s="13"/>
    </row>
    <row r="14" customFormat="false" ht="15" hidden="false" customHeight="false" outlineLevel="0" collapsed="false">
      <c r="A14" s="24"/>
      <c r="B14" s="13"/>
      <c r="C14" s="18"/>
      <c r="D14" s="13"/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2026-10-27T16:56:08Z</dcterms:created>
  <dc:creator>openpyxl</dc:creator>
  <dc:description/>
  <dc:language>en-US</dc:language>
  <cp:lastModifiedBy/>
  <dcterms:modified xsi:type="dcterms:W3CDTF">2026-10-27T16:56:08Z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