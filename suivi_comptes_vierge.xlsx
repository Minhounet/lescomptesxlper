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<sst xmlns="http://schemas.openxmlformats.org/spreadsheetml/2006/main" count="122" uniqueCount="96">
  <si>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</si>
  <si>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</si>
  <si>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</si>
  <si>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</si>
  <si>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</si>
  <si>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</si>
  <si>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</si>
  <si>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</si>
  <si>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</si>
  <si>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</si>
  <si>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</si>
  <si>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</si>
  <si>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</si>
  <si>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</si>
  <si>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</si>
  <si>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</si>
  <si>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</si>
  <si>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</si>
  <si>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</si>
  <si>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</si>
  <si>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</si>
  <si>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</si>
  <si>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</si>
  <si>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</si>
  <si>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</si>
  <si>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</si>
  <si>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</si>
  <si>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</si>
  <si>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</si>
  <si>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</si>
  <si>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</si>
  <si>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</si>
  <si>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</si>
  <si>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</si>
  <si>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</si>
  <si>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Mensuelle</t>
  </si>
  <si>
    <t xml:space="preserve">Personne 2</t>
  </si>
  <si>
    <t xml:space="preserve">Trimestrielle</t>
  </si>
  <si>
    <t xml:space="preserve">Compte perso de la Personne 1</t>
  </si>
  <si>
    <t xml:space="preserve">Semestrielle</t>
  </si>
  <si>
    <t xml:space="preserve">Compte perso de la Personne 2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</si>
  <si>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</si>
  <si>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</si>
  <si>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</si>
  <si>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</si>
  <si>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</si>
  <si>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</si>
  <si>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</si>
  <si>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</si>
  <si>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</si>
  <si>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</si>
  <si>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</si>
  <si>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</si>
  <si>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</si>
  <si>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</si>
  <si>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Alimente la ligne « Provision imprévus » de l'onglet Charges (réparties 50/50, sur le compte joint indiqué).</t>
  </si>
  <si>
    <t xml:space="preserve">Version du modèle</t>
  </si>
  <si>
    <t xml:space="preserve">1.0.0</t>
  </si>
  <si>
    <t xml:space="preserve">Voir MIGRATION.md pour migrer un fichier d'une version à l'autre.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</si>
  <si>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</si>
  <si>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</si>
  <si>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</si>
  <si>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</si>
  <si>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</si>
  <si>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</si>
  <si>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</si>
  <si>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</si>
  <si>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</si>
  <si>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</si>
  <si>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</si>
  <si>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</si>
  <si>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</si>
  <si>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</si>
  <si>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</si>
  <si>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</si>
  <si>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</si>
  <si>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</si>
  <si>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</si>
  <si>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</si>
  <si>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</si>
  <si>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</si>
  <si>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</si>
  <si>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</si>
  <si>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</si>
  <si>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</si>
  <si>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(ligne « Imprévus » de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</si>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</sst>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Personne 1</v>
      </c>
      <c r="B5" s="6" t="n">
        <f aca="false">SUMIFS(Revenus!$F$5:$F$24,Revenus!$B$5:$B$24,"Salaire",Revenus!$C$5:$C$24,A5)</f>
        <v>0</v>
      </c>
      <c r="C5" s="6" t="n">
        <f aca="false">SUM(E$13:E$22)</f>
        <v>0</v>
      </c>
      <c r="D5" s="6" t="n">
        <f aca="false">IF(Paramètres!$B$6="",0,IFERROR(INDEX($C$13:$C$22,MATCH(Paramètres!$B$6,$A$13:$A$22,0)),0))</f>
        <v>0</v>
      </c>
      <c r="E5" s="6" t="n">
        <f aca="false">C5+D5</f>
        <v>0</v>
      </c>
      <c r="F5" s="7" t="n">
        <f aca="false">IF(B5=0,0,E5/B5)</f>
        <v>0</v>
      </c>
      <c r="G5" s="6" t="n">
        <f aca="false">IF(Paramètres!$B$6="",0,IFERROR(INDEX($J$13:$J$22,MATCH(Paramètres!$B$6,$A$13:$A$22,0)),0))</f>
        <v>0</v>
      </c>
      <c r="H5" s="6" t="n">
        <f aca="false">IF(Paramètres!B$15="Forfait",Paramètres!B$16,SUMIFS('Charges perso'!$F$5:$F$44,'Charges perso'!$B$5:$B$44,A5))</f>
        <v>0</v>
      </c>
      <c r="I5" s="6" t="n">
        <f aca="false">G5-H5</f>
        <v>0</v>
      </c>
      <c r="J5" s="6" t="n">
        <f aca="false">MAX(0,IF(Paramètres!B$17="Pourcentage",Paramètres!B$18*MAX(0,I5),Paramètres!B$19))</f>
        <v>0</v>
      </c>
      <c r="K5" s="6" t="n">
        <f aca="false">I5-J5</f>
        <v>0</v>
      </c>
    </row>
    <row r="6" customFormat="false" ht="15" hidden="false" customHeight="false" outlineLevel="0" collapsed="false">
      <c r="A6" s="5" t="str">
        <f aca="false">Paramètres!$B$5</f>
        <v>Personne 2</v>
      </c>
      <c r="B6" s="6" t="n">
        <f aca="false">SUMIFS(Revenus!$F$5:$F$24,Revenus!$B$5:$B$24,"Salaire",Revenus!$C$5:$C$24,A6)</f>
        <v>0</v>
      </c>
      <c r="C6" s="6" t="n">
        <f aca="false">SUM(F$13:F$22)</f>
        <v>0</v>
      </c>
      <c r="D6" s="6" t="n">
        <f aca="false">IF(Paramètres!$B$7="",0,IFERROR(INDEX($C$13:$C$22,MATCH(Paramètres!$B$7,$A$13:$A$22,0)),0))</f>
        <v>0</v>
      </c>
      <c r="E6" s="6" t="n">
        <f aca="false">C6+D6</f>
        <v>0</v>
      </c>
      <c r="F6" s="7" t="n">
        <f aca="false">IF(B6=0,0,E6/B6)</f>
        <v>0</v>
      </c>
      <c r="G6" s="6" t="n">
        <f aca="false">IF(Paramètres!$B$7="",0,IFERROR(INDEX($J$13:$J$22,MATCH(Paramètres!$B$7,$A$13:$A$22,0)),0))</f>
        <v>0</v>
      </c>
      <c r="H6" s="6" t="n">
        <f aca="false">IF(Paramètres!C$15="Forfait",Paramètres!C$16,SUMIFS('Charges perso'!$F$5:$F$44,'Charges perso'!$B$5:$B$44,A6))</f>
        <v>0</v>
      </c>
      <c r="I6" s="6" t="n">
        <f aca="false">G6-H6</f>
        <v>0</v>
      </c>
      <c r="J6" s="6" t="n">
        <f aca="false">MAX(0,IF(Paramètres!C$17="Pourcentage",Paramètres!C$18*MAX(0,I6),Paramètres!C$19))</f>
        <v>0</v>
      </c>
      <c r="K6" s="6" t="n">
        <f aca="false">I6-J6</f>
        <v>0</v>
      </c>
    </row>
    <row r="7" customFormat="false" ht="15" hidden="false" customHeight="false" outlineLevel="0" collapsed="false">
      <c r="A7" s="8" t="s">
        <v>14</v>
      </c>
      <c r="B7" s="9" t="n">
        <f aca="false">SUM(B5:B6)</f>
        <v>0</v>
      </c>
      <c r="C7" s="9" t="n">
        <f aca="false">SUM(C5:C6)</f>
        <v>0</v>
      </c>
      <c r="D7" s="9" t="n">
        <f aca="false">SUM(D5:D6)</f>
        <v>0</v>
      </c>
      <c r="E7" s="9" t="n">
        <f aca="false">SUM(E5:E6)</f>
        <v>0</v>
      </c>
      <c r="F7" s="10" t="n">
        <f aca="false">IF(B7=0,0,E7/B7)</f>
        <v>0</v>
      </c>
      <c r="G7" s="9" t="n">
        <f aca="false">SUM(G5:G6)</f>
        <v>0</v>
      </c>
      <c r="H7" s="9" t="n">
        <f aca="false">SUM(H5:H6)</f>
        <v>0</v>
      </c>
      <c r="I7" s="9" t="n">
        <f aca="false">SUM(I5:I6)</f>
        <v>0</v>
      </c>
      <c r="J7" s="9" t="n">
        <f aca="false">SUM(J5:J6)</f>
        <v>0</v>
      </c>
      <c r="K7" s="9" t="n">
        <f aca="false">SUM(K5:K6)</f>
        <v>0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Personne 1</v>
      </c>
      <c r="F12" s="4" t="str">
        <f aca="false">"À virer par "&amp;Paramètres!$B$5</f>
        <v>À virer par Personne 2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/>
      </c>
      <c r="B13" s="5" t="str">
        <f aca="false">IF($A13="","",Comptes!B5)</f>
        <v/>
      </c>
      <c r="C13" s="6" t="str">
        <f aca="false">IF($A13="","",SUMIFS(Charges!$F$5:$F$54,Charges!$H$5:$H$54,$A13))</f>
        <v/>
      </c>
      <c r="D13" s="6" t="str">
        <f aca="false">IF($A13="","",SUMIFS(Revenus!$F$5:$F$24,Revenus!$G$5:$G$24,$A13,Revenus!$B$5:$B$24,"&lt;&gt;Salaire"))</f>
        <v/>
      </c>
      <c r="E13" s="11" t="str">
        <f aca="false">IF($A13="","",IF($B13="Joint",IF($C13=0,0,($C13-$D13)*SUMIFS(Charges!$M$5:$M$54,Charges!$H$5:$H$54,$A13)/$C13),0))</f>
        <v/>
      </c>
      <c r="F13" s="11" t="str">
        <f aca="false">IF($A13="","",IF($B13="Joint",IF($C13=0,0,($C13-$D13)*SUMIFS(Charges!$N$5:$N$54,Charges!$H$5:$H$54,$A13)/$C13),0))</f>
        <v/>
      </c>
      <c r="G13" s="6" t="str">
        <f aca="false">IF($A13="","",SUMIFS(Revenus!$F$5:$F$24,Revenus!$G$5:$G$24,$A13,Revenus!$B$5:$B$24,"Salaire"))</f>
        <v/>
      </c>
      <c r="H13" s="6" t="str">
        <f aca="false">IF($A13="","",SUMIFS(Charges!$F$5:$F$54,Charges!$I$5:$I$54,$A13,Charges!$G$5:$G$54,"Virement"))</f>
        <v/>
      </c>
      <c r="I13" s="6" t="str">
        <f aca="false">IF($A13="","",IF($A13=Paramètres!$B$6,SUM($E$13:$E$22),IF($A13=Paramètres!$B$7,SUM($F$13:$F$22),0)))</f>
        <v/>
      </c>
      <c r="J13" s="6" t="str">
        <f aca="false">IF($A13="","",G13+D13+H13+IF(B13="Joint",E13+F13,0)-C13-I13)</f>
        <v/>
      </c>
    </row>
    <row r="14" customFormat="false" ht="15" hidden="false" customHeight="false" outlineLevel="0" collapsed="false">
      <c r="A14" s="5" t="str">
        <f aca="false">IF(Comptes!A6="","",Comptes!A6)</f>
        <v/>
      </c>
      <c r="B14" s="5" t="str">
        <f aca="false">IF($A14="","",Comptes!B6)</f>
        <v/>
      </c>
      <c r="C14" s="6" t="str">
        <f aca="false">IF($A14="","",SUMIFS(Charges!$F$5:$F$54,Charges!$H$5:$H$54,$A14))</f>
        <v/>
      </c>
      <c r="D14" s="6" t="str">
        <f aca="false">IF($A14="","",SUMIFS(Revenus!$F$5:$F$24,Revenus!$G$5:$G$24,$A14,Revenus!$B$5:$B$24,"&lt;&gt;Salaire"))</f>
        <v/>
      </c>
      <c r="E14" s="11" t="str">
        <f aca="false">IF($A14="","",IF($B14="Joint",IF($C14=0,0,($C14-$D14)*SUMIFS(Charges!$M$5:$M$54,Charges!$H$5:$H$54,$A14)/$C14),0))</f>
        <v/>
      </c>
      <c r="F14" s="11" t="str">
        <f aca="false">IF($A14="","",IF($B14="Joint",IF($C14=0,0,($C14-$D14)*SUMIFS(Charges!$N$5:$N$54,Charges!$H$5:$H$54,$A14)/$C14),0))</f>
        <v/>
      </c>
      <c r="G14" s="6" t="str">
        <f aca="false">IF($A14="","",SUMIFS(Revenus!$F$5:$F$24,Revenus!$G$5:$G$24,$A14,Revenus!$B$5:$B$24,"Salaire"))</f>
        <v/>
      </c>
      <c r="H14" s="6" t="str">
        <f aca="false">IF($A14="","",SUMIFS(Charges!$F$5:$F$54,Charges!$I$5:$I$54,$A14,Charges!$G$5:$G$54,"Virement"))</f>
        <v/>
      </c>
      <c r="I14" s="6" t="str">
        <f aca="false">IF($A14="","",IF($A14=Paramètres!$B$6,SUM($E$13:$E$22),IF($A14=Paramètres!$B$7,SUM($F$13:$F$22),0)))</f>
        <v/>
      </c>
      <c r="J14" s="6" t="str">
        <f aca="false">IF($A14="","",G14+D14+H14+IF(B14="Joint",E14+F14,0)-C14-I14)</f>
        <v/>
      </c>
    </row>
    <row r="15" customFormat="false" ht="15" hidden="false" customHeight="false" outlineLevel="0" collapsed="false">
      <c r="A15" s="5" t="str">
        <f aca="false">IF(Comptes!A7="","",Comptes!A7)</f>
        <v/>
      </c>
      <c r="B15" s="5" t="str">
        <f aca="false">IF($A15="","",Comptes!B7)</f>
        <v/>
      </c>
      <c r="C15" s="6" t="str">
        <f aca="false">IF($A15="","",SUMIFS(Charges!$F$5:$F$54,Charges!$H$5:$H$54,$A15))</f>
        <v/>
      </c>
      <c r="D15" s="6" t="str">
        <f aca="false">IF($A15="","",SUMIFS(Revenus!$F$5:$F$24,Revenus!$G$5:$G$24,$A15,Revenus!$B$5:$B$24,"&lt;&gt;Salaire"))</f>
        <v/>
      </c>
      <c r="E15" s="11" t="str">
        <f aca="false">IF($A15="","",IF($B15="Joint",IF($C15=0,0,($C15-$D15)*SUMIFS(Charges!$M$5:$M$54,Charges!$H$5:$H$54,$A15)/$C15),0))</f>
        <v/>
      </c>
      <c r="F15" s="11" t="str">
        <f aca="false">IF($A15="","",IF($B15="Joint",IF($C15=0,0,($C15-$D15)*SUMIFS(Charges!$N$5:$N$54,Charges!$H$5:$H$54,$A15)/$C15),0))</f>
        <v/>
      </c>
      <c r="G15" s="6" t="str">
        <f aca="false">IF($A15="","",SUMIFS(Revenus!$F$5:$F$24,Revenus!$G$5:$G$24,$A15,Revenus!$B$5:$B$24,"Salaire"))</f>
        <v/>
      </c>
      <c r="H15" s="6" t="str">
        <f aca="false">IF($A15="","",SUMIFS(Charges!$F$5:$F$54,Charges!$I$5:$I$54,$A15,Charges!$G$5:$G$54,"Virement"))</f>
        <v/>
      </c>
      <c r="I15" s="6" t="str">
        <f aca="false">IF($A15="","",IF($A15=Paramètres!$B$6,SUM($E$13:$E$22),IF($A15=Paramètres!$B$7,SUM($F$13:$F$22),0)))</f>
        <v/>
      </c>
      <c r="J15" s="6" t="str">
        <f aca="false">IF($A15="","",G15+D15+H15+IF(B15="Joint",E15+F15,0)-C15-I15)</f>
        <v/>
      </c>
    </row>
    <row r="16" customFormat="false" ht="15" hidden="false" customHeight="false" outlineLevel="0" collapsed="false">
      <c r="A16" s="5" t="str">
        <f aca="false">IF(Comptes!A8="","",Comptes!A8)</f>
        <v/>
      </c>
      <c r="B16" s="5" t="str">
        <f aca="false">IF($A16="","",Comptes!B8)</f>
        <v/>
      </c>
      <c r="C16" s="6" t="str">
        <f aca="false">IF($A16="","",SUMIFS(Charges!$F$5:$F$54,Charges!$H$5:$H$54,$A16))</f>
        <v/>
      </c>
      <c r="D16" s="6" t="str">
        <f aca="false">IF($A16="","",SUMIFS(Revenus!$F$5:$F$24,Revenus!$G$5:$G$24,$A16,Revenus!$B$5:$B$24,"&lt;&gt;Salaire"))</f>
        <v/>
      </c>
      <c r="E16" s="11" t="str">
        <f aca="false">IF($A16="","",IF($B16="Joint",IF($C16=0,0,($C16-$D16)*SUMIFS(Charges!$M$5:$M$54,Charges!$H$5:$H$54,$A16)/$C16),0))</f>
        <v/>
      </c>
      <c r="F16" s="11" t="str">
        <f aca="false">IF($A16="","",IF($B16="Joint",IF($C16=0,0,($C16-$D16)*SUMIFS(Charges!$N$5:$N$54,Charges!$H$5:$H$54,$A16)/$C16),0))</f>
        <v/>
      </c>
      <c r="G16" s="6" t="str">
        <f aca="false">IF($A16="","",SUMIFS(Revenus!$F$5:$F$24,Revenus!$G$5:$G$24,$A16,Revenus!$B$5:$B$24,"Salaire"))</f>
        <v/>
      </c>
      <c r="H16" s="6" t="str">
        <f aca="false">IF($A16="","",SUMIFS(Charges!$F$5:$F$54,Charges!$I$5:$I$54,$A16,Charges!$G$5:$G$54,"Virement"))</f>
        <v/>
      </c>
      <c r="I16" s="6" t="str">
        <f aca="false">IF($A16="","",IF($A16=Paramètres!$B$6,SUM($E$13:$E$22),IF($A16=Paramètres!$B$7,SUM($F$13:$F$22),0)))</f>
        <v/>
      </c>
      <c r="J16" s="6" t="str">
        <f aca="false">IF($A16="","",G16+D16+H16+IF(B16="Joint",E16+F16,0)-C16-I16)</f>
        <v/>
      </c>
    </row>
    <row r="17" customFormat="false" ht="15" hidden="false" customHeight="false" outlineLevel="0" collapsed="false">
      <c r="A17" s="5" t="str">
        <f aca="false">IF(Comptes!A9="","",Comptes!A9)</f>
        <v/>
      </c>
      <c r="B17" s="5" t="str">
        <f aca="false">IF($A17="","",Comptes!B9)</f>
        <v/>
      </c>
      <c r="C17" s="6" t="str">
        <f aca="false">IF($A17="","",SUMIFS(Charges!$F$5:$F$54,Charges!$H$5:$H$54,$A17))</f>
        <v/>
      </c>
      <c r="D17" s="6" t="str">
        <f aca="false">IF($A17="","",SUMIFS(Revenus!$F$5:$F$24,Revenus!$G$5:$G$24,$A17,Revenus!$B$5:$B$24,"&lt;&gt;Salaire"))</f>
        <v/>
      </c>
      <c r="E17" s="11" t="str">
        <f aca="false">IF($A17="","",IF($B17="Joint",IF($C17=0,0,($C17-$D17)*SUMIFS(Charges!$M$5:$M$54,Charges!$H$5:$H$54,$A17)/$C17),0))</f>
        <v/>
      </c>
      <c r="F17" s="11" t="str">
        <f aca="false">IF($A17="","",IF($B17="Joint",IF($C17=0,0,($C17-$D17)*SUMIFS(Charges!$N$5:$N$54,Charges!$H$5:$H$54,$A17)/$C17),0))</f>
        <v/>
      </c>
      <c r="G17" s="6" t="str">
        <f aca="false">IF($A17="","",SUMIFS(Revenus!$F$5:$F$24,Revenus!$G$5:$G$24,$A17,Revenus!$B$5:$B$24,"Salaire"))</f>
        <v/>
      </c>
      <c r="H17" s="6" t="str">
        <f aca="false">IF($A17="","",SUMIFS(Charges!$F$5:$F$54,Charges!$I$5:$I$54,$A17,Charges!$G$5:$G$54,"Virement"))</f>
        <v/>
      </c>
      <c r="I17" s="6" t="str">
        <f aca="false">IF($A17="","",IF($A17=Paramètres!$B$6,SUM($E$13:$E$22),IF($A17=Paramètres!$B$7,SUM($F$13:$F$22),0)))</f>
        <v/>
      </c>
      <c r="J17" s="6" t="str">
        <f aca="false">IF($A17="","",G17+D17+H17+IF(B17="Joint",E17+F17,0)-C17-I17)</f>
        <v/>
      </c>
    </row>
    <row r="18" customFormat="false" ht="15" hidden="false" customHeight="false" outlineLevel="0" collapsed="false">
      <c r="A18" s="5" t="str">
        <f aca="false">IF(Comptes!A10="","",Comptes!A10)</f>
        <v/>
      </c>
      <c r="B18" s="5" t="str">
        <f aca="false">IF($A18="","",Comptes!B10)</f>
        <v/>
      </c>
      <c r="C18" s="6" t="str">
        <f aca="false">IF($A18="","",SUMIFS(Charges!$F$5:$F$54,Charges!$H$5:$H$54,$A18))</f>
        <v/>
      </c>
      <c r="D18" s="6" t="str">
        <f aca="false">IF($A18="","",SUMIFS(Revenus!$F$5:$F$24,Revenus!$G$5:$G$24,$A18,Revenus!$B$5:$B$24,"&lt;&gt;Salaire"))</f>
        <v/>
      </c>
      <c r="E18" s="11" t="str">
        <f aca="false">IF($A18="","",IF($B18="Joint",IF($C18=0,0,($C18-$D18)*SUMIFS(Charges!$M$5:$M$54,Charges!$H$5:$H$54,$A18)/$C18),0))</f>
        <v/>
      </c>
      <c r="F18" s="11" t="str">
        <f aca="false">IF($A18="","",IF($B18="Joint",IF($C18=0,0,($C18-$D18)*SUMIFS(Charges!$N$5:$N$54,Charges!$H$5:$H$54,$A18)/$C18),0))</f>
        <v/>
      </c>
      <c r="G18" s="6" t="str">
        <f aca="false">IF($A18="","",SUMIFS(Revenus!$F$5:$F$24,Revenus!$G$5:$G$24,$A18,Revenus!$B$5:$B$24,"Salaire"))</f>
        <v/>
      </c>
      <c r="H18" s="6" t="str">
        <f aca="false">IF($A18="","",SUMIFS(Charges!$F$5:$F$54,Charges!$I$5:$I$54,$A18,Charges!$G$5:$G$54,"Virement"))</f>
        <v/>
      </c>
      <c r="I18" s="6" t="str">
        <f aca="false">IF($A18="","",IF($A18=Paramètres!$B$6,SUM($E$13:$E$22),IF($A18=Paramètres!$B$7,SUM($F$13:$F$22),0)))</f>
        <v/>
      </c>
      <c r="J18" s="6" t="str">
        <f aca="false">IF($A18="","",G18+D18+H18+IF(B18="Joint",E18+F18,0)-C18-I18)</f>
        <v/>
      </c>
    </row>
    <row r="19" customFormat="false" ht="15" hidden="false" customHeight="false" outlineLevel="0" collapsed="false">
      <c r="A19" s="5" t="str">
        <f aca="false">IF(Comptes!A11="","",Comptes!A11)</f>
        <v/>
      </c>
      <c r="B19" s="5" t="str">
        <f aca="false">IF($A19="","",Comptes!B11)</f>
        <v/>
      </c>
      <c r="C19" s="6" t="str">
        <f aca="false">IF($A19="","",SUMIFS(Charges!$F$5:$F$54,Charges!$H$5:$H$54,$A19))</f>
        <v/>
      </c>
      <c r="D19" s="6" t="str">
        <f aca="false">IF($A19="","",SUMIFS(Revenus!$F$5:$F$24,Revenus!$G$5:$G$24,$A19,Revenus!$B$5:$B$24,"&lt;&gt;Salaire"))</f>
        <v/>
      </c>
      <c r="E19" s="11" t="str">
        <f aca="false">IF($A19="","",IF($B19="Joint",IF($C19=0,0,($C19-$D19)*SUMIFS(Charges!$M$5:$M$54,Charges!$H$5:$H$54,$A19)/$C19),0))</f>
        <v/>
      </c>
      <c r="F19" s="11" t="str">
        <f aca="false">IF($A19="","",IF($B19="Joint",IF($C19=0,0,($C19-$D19)*SUMIFS(Charges!$N$5:$N$54,Charges!$H$5:$H$54,$A19)/$C19),0))</f>
        <v/>
      </c>
      <c r="G19" s="6" t="str">
        <f aca="false">IF($A19="","",SUMIFS(Revenus!$F$5:$F$24,Revenus!$G$5:$G$24,$A19,Revenus!$B$5:$B$24,"Salaire"))</f>
        <v/>
      </c>
      <c r="H19" s="6" t="str">
        <f aca="false">IF($A19="","",SUMIFS(Charges!$F$5:$F$54,Charges!$I$5:$I$54,$A19,Charges!$G$5:$G$54,"Virement"))</f>
        <v/>
      </c>
      <c r="I19" s="6" t="str">
        <f aca="false">IF($A19="","",IF($A19=Paramètres!$B$6,SUM($E$13:$E$22),IF($A19=Paramètres!$B$7,SUM($F$13:$F$22),0)))</f>
        <v/>
      </c>
      <c r="J19" s="6" t="str">
        <f aca="false">IF($A19="","",G19+D19+H19+IF(B19="Joint",E19+F19,0)-C19-I19)</f>
        <v/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0</v>
      </c>
      <c r="D23" s="9" t="n">
        <f aca="false">SUM(D13:D22)</f>
        <v>0</v>
      </c>
      <c r="E23" s="9" t="n">
        <f aca="false">SUM(E13:E22)</f>
        <v>0</v>
      </c>
      <c r="F23" s="9" t="n">
        <f aca="false">SUM(F13:F22)</f>
        <v>0</v>
      </c>
      <c r="G23" s="9" t="n">
        <f aca="false">SUM(G13:G22)</f>
        <v>0</v>
      </c>
      <c r="H23" s="9" t="n">
        <f aca="false">SUM(H13:H22)</f>
        <v>0</v>
      </c>
      <c r="I23" s="9" t="n">
        <f aca="false">SUM(I13:I22)</f>
        <v>0</v>
      </c>
      <c r="J23" s="9" t="n">
        <f aca="false">SUM(J13:J22)</f>
        <v>0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0</v>
      </c>
      <c r="C28" s="7" t="n">
        <f aca="false">IF($B$30=0,0,B28/$B$30)</f>
        <v>0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0</v>
      </c>
      <c r="C29" s="7" t="n">
        <f aca="false">IF($B$30=0,0,B29/$B$30)</f>
        <v>0</v>
      </c>
    </row>
    <row r="30" customFormat="false" ht="15" hidden="false" customHeight="false" outlineLevel="0" collapsed="false">
      <c r="A30" s="8" t="s">
        <v>25</v>
      </c>
      <c r="B30" s="9" t="n">
        <f aca="false">B28+B29</f>
        <v>0</v>
      </c>
      <c r="C30" s="10" t="n">
        <f aca="false">C28+C29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34</v>
      </c>
      <c r="D4" s="5" t="s">
        <v>35</v>
      </c>
      <c r="E4" s="5" t="n">
        <v>1</v>
      </c>
    </row>
    <row r="5" customFormat="false" ht="15" hidden="false" customHeight="false" outlineLevel="0" collapsed="false">
      <c r="A5" s="12" t="s">
        <v>36</v>
      </c>
      <c r="B5" s="13" t="s">
        <v>36</v>
      </c>
      <c r="D5" s="5" t="s">
        <v>37</v>
      </c>
      <c r="E5" s="5" t="n">
        <v>3</v>
      </c>
    </row>
    <row r="6" customFormat="false" ht="15" hidden="false" customHeight="false" outlineLevel="0" collapsed="false">
      <c r="A6" s="12" t="s">
        <v>38</v>
      </c>
      <c r="B6" s="13"/>
      <c r="D6" s="5" t="s">
        <v>39</v>
      </c>
      <c r="E6" s="5" t="n">
        <v>6</v>
      </c>
    </row>
    <row r="7" customFormat="false" ht="15" hidden="false" customHeight="false" outlineLevel="0" collapsed="false">
      <c r="A7" s="12" t="s">
        <v>40</v>
      </c>
      <c r="B7" s="13"/>
      <c r="D7" s="5" t="s">
        <v>41</v>
      </c>
      <c r="E7" s="5" t="n">
        <v>12</v>
      </c>
    </row>
    <row r="9" customFormat="false" ht="30" hidden="false" customHeight="true" outlineLevel="0" collapsed="false">
      <c r="A9" s="14" t="s">
        <v>42</v>
      </c>
      <c r="B9" s="15" t="n">
        <f aca="false">IFERROR(SUMIFS(Revenus!$F$5:$F$24,Revenus!$B$5:$B$24,"Salaire",Revenus!$C$5:$C$24,$B$4)/SUMIFS(Revenus!$F$5:$F$24,Revenus!$B$5:$B$24,"Salaire"),0.5)</f>
        <v>0.5</v>
      </c>
    </row>
    <row r="10" customFormat="false" ht="15" hidden="false" customHeight="false" outlineLevel="0" collapsed="false">
      <c r="A10" s="2" t="s">
        <v>43</v>
      </c>
    </row>
    <row r="12" customFormat="false" ht="15" hidden="false" customHeight="false" outlineLevel="0" collapsed="false">
      <c r="A12" s="2" t="s">
        <v>44</v>
      </c>
    </row>
    <row r="14" customFormat="false" ht="15" hidden="false" customHeight="false" outlineLevel="0" collapsed="false">
      <c r="A14" s="3" t="s">
        <v>45</v>
      </c>
      <c r="B14" s="16" t="str">
        <f aca="false">$B$4</f>
        <v>Personne 1</v>
      </c>
      <c r="C14" s="16" t="str">
        <f aca="false">$B$5</f>
        <v>Personne 2</v>
      </c>
    </row>
    <row r="15" customFormat="false" ht="27.75" hidden="false" customHeight="true" outlineLevel="0" collapsed="false">
      <c r="A15" s="17" t="s">
        <v>46</v>
      </c>
      <c r="B15" s="13" t="s">
        <v>47</v>
      </c>
      <c r="C15" s="13" t="s">
        <v>47</v>
      </c>
    </row>
    <row r="16" customFormat="false" ht="27.75" hidden="false" customHeight="true" outlineLevel="0" collapsed="false">
      <c r="A16" s="17" t="s">
        <v>48</v>
      </c>
      <c r="B16" s="18" t="n">
        <v>0</v>
      </c>
      <c r="C16" s="18" t="n">
        <v>0</v>
      </c>
    </row>
    <row r="17" customFormat="false" ht="27.75" hidden="false" customHeight="true" outlineLevel="0" collapsed="false">
      <c r="A17" s="17" t="s">
        <v>49</v>
      </c>
      <c r="B17" s="13" t="s">
        <v>50</v>
      </c>
      <c r="C17" s="13" t="s">
        <v>50</v>
      </c>
    </row>
    <row r="18" customFormat="false" ht="27.75" hidden="false" customHeight="true" outlineLevel="0" collapsed="false">
      <c r="A18" s="17" t="s">
        <v>51</v>
      </c>
      <c r="B18" s="19" t="n">
        <v>0</v>
      </c>
      <c r="C18" s="19" t="n">
        <v>0</v>
      </c>
    </row>
    <row r="19" customFormat="false" ht="27.75" hidden="false" customHeight="true" outlineLevel="0" collapsed="false">
      <c r="A19" s="17" t="s">
        <v>52</v>
      </c>
      <c r="B19" s="18" t="n">
        <v>0</v>
      </c>
      <c r="C19" s="18" t="n">
        <v>0</v>
      </c>
    </row>
    <row r="20" customFormat="false" ht="15" hidden="false" customHeight="false" outlineLevel="0" collapsed="false">
      <c r="A20" s="2" t="s">
        <v>53</v>
      </c>
    </row>
    <row r="22" customFormat="false" ht="15" hidden="false" customHeight="false" outlineLevel="0" collapsed="false">
      <c r="A22" s="12" t="s">
        <v>54</v>
      </c>
      <c r="B22" s="20" t="n">
        <v>0</v>
      </c>
    </row>
    <row r="23" customFormat="false" ht="15" hidden="false" customHeight="false" outlineLevel="0" collapsed="false">
      <c r="A23" s="2" t="s">
        <v>55</v>
      </c>
    </row>
    <row r="25" customFormat="false" ht="15" hidden="false" customHeight="false" outlineLevel="0" collapsed="false">
      <c r="A25" s="12" t="s">
        <v>56</v>
      </c>
      <c r="B25" s="5" t="s">
        <v>57</v>
      </c>
    </row>
    <row r="26" customFormat="false" ht="15" hidden="false" customHeight="false" outlineLevel="0" collapsed="false">
      <c r="A26" s="2" t="s">
        <v>58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42" hidden="false" customHeight="true" outlineLevel="0" collapsed="false">
      <c r="A4" s="4" t="s">
        <v>61</v>
      </c>
      <c r="B4" s="4" t="s">
        <v>18</v>
      </c>
      <c r="C4" s="4" t="s">
        <v>62</v>
      </c>
      <c r="D4" s="4" t="s">
        <v>63</v>
      </c>
    </row>
    <row r="5" customFormat="false" ht="15" hidden="false" customHeight="false" outlineLevel="0" collapsed="false">
      <c r="A5" s="13"/>
      <c r="B5" s="13"/>
      <c r="C5" s="13"/>
      <c r="D5" s="13"/>
    </row>
    <row r="6" customFormat="false" ht="15" hidden="false" customHeight="false" outlineLevel="0" collapsed="false">
      <c r="A6" s="13"/>
      <c r="B6" s="13"/>
      <c r="C6" s="13"/>
      <c r="D6" s="13"/>
    </row>
    <row r="7" customFormat="false" ht="15" hidden="false" customHeight="false" outlineLevel="0" collapsed="false">
      <c r="A7" s="13"/>
      <c r="B7" s="13"/>
      <c r="C7" s="13"/>
      <c r="D7" s="13"/>
    </row>
    <row r="8" customFormat="false" ht="15" hidden="false" customHeight="false" outlineLevel="0" collapsed="false">
      <c r="A8" s="13"/>
      <c r="B8" s="13"/>
      <c r="C8" s="13"/>
      <c r="D8" s="13"/>
    </row>
    <row r="9" customFormat="false" ht="15" hidden="false" customHeight="false" outlineLevel="0" collapsed="false">
      <c r="A9" s="13"/>
      <c r="B9" s="13"/>
      <c r="C9" s="13"/>
      <c r="D9" s="13"/>
    </row>
    <row r="10" customFormat="false" ht="15" hidden="false" customHeight="false" outlineLevel="0" collapsed="false">
      <c r="A10" s="13"/>
      <c r="B10" s="13"/>
      <c r="C10" s="13"/>
      <c r="D10" s="13"/>
    </row>
    <row r="11" customFormat="false" ht="15" hidden="false" customHeight="false" outlineLevel="0" collapsed="false">
      <c r="A11" s="13"/>
      <c r="B11" s="13"/>
      <c r="C11" s="13"/>
      <c r="D11" s="13"/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42" hidden="false" customHeight="true" outlineLevel="0" collapsed="false">
      <c r="A4" s="4" t="s">
        <v>66</v>
      </c>
      <c r="B4" s="4" t="s">
        <v>67</v>
      </c>
      <c r="C4" s="4" t="s">
        <v>68</v>
      </c>
      <c r="D4" s="4" t="s">
        <v>32</v>
      </c>
      <c r="E4" s="4" t="s">
        <v>69</v>
      </c>
      <c r="F4" s="4" t="s">
        <v>70</v>
      </c>
      <c r="G4" s="4" t="s">
        <v>71</v>
      </c>
      <c r="H4" s="4" t="s">
        <v>72</v>
      </c>
      <c r="I4" s="4" t="s">
        <v>73</v>
      </c>
      <c r="J4" s="4" t="s">
        <v>74</v>
      </c>
      <c r="K4" s="4" t="s">
        <v>75</v>
      </c>
      <c r="L4" s="4" t="s">
        <v>76</v>
      </c>
      <c r="M4" s="4" t="str">
        <f aca="false">"Part "&amp;Paramètres!$B$4&amp;" (€/mois)"</f>
        <v>Part Personne 1 (€/mois)</v>
      </c>
      <c r="N4" s="4" t="str">
        <f aca="false">"Part "&amp;Paramètres!$B$5&amp;" (€/mois)"</f>
        <v>Part Personne 2 (€/mois)</v>
      </c>
    </row>
    <row r="5" customFormat="false" ht="15" hidden="false" customHeight="false" outlineLevel="0" collapsed="false">
      <c r="A5" s="13"/>
      <c r="B5" s="13"/>
      <c r="C5" s="13"/>
      <c r="D5" s="13"/>
      <c r="E5" s="18"/>
      <c r="F5" s="6" t="str">
        <f aca="false">IF(A5="","",IFERROR(E5/INDEX(Paramètres!$E$4:$E$7,MATCH(D5,Paramètres!$D$4:$D$7,0)),0))</f>
        <v/>
      </c>
      <c r="G5" s="13"/>
      <c r="H5" s="13"/>
      <c r="I5" s="13"/>
      <c r="J5" s="13"/>
      <c r="K5" s="13"/>
      <c r="L5" s="7" t="str">
        <f aca="false">IF(A5="","",IF(K5="50/50",0.5,IF(K5="Prorata salaires",Paramètres!$B$9,IF(K5="Personne 1 seul",1,IF(K5="Personne 2 seul",0,0.5)))))</f>
        <v/>
      </c>
      <c r="M5" s="6" t="str">
        <f aca="false">IF(A5="","",F5*L5)</f>
        <v/>
      </c>
      <c r="N5" s="6" t="str">
        <f aca="false">IF(A5="","",F5-M5)</f>
        <v/>
      </c>
    </row>
    <row r="6" customFormat="false" ht="15" hidden="false" customHeight="false" outlineLevel="0" collapsed="false">
      <c r="A6" s="13"/>
      <c r="B6" s="13"/>
      <c r="C6" s="13"/>
      <c r="D6" s="13"/>
      <c r="E6" s="18"/>
      <c r="F6" s="6" t="str">
        <f aca="false">IF(A6="","",IFERROR(E6/INDEX(Paramètres!$E$4:$E$7,MATCH(D6,Paramètres!$D$4:$D$7,0)),0))</f>
        <v/>
      </c>
      <c r="G6" s="13"/>
      <c r="H6" s="13"/>
      <c r="I6" s="13"/>
      <c r="J6" s="13"/>
      <c r="K6" s="13"/>
      <c r="L6" s="7" t="str">
        <f aca="false">IF(A6="","",IF(K6="50/50",0.5,IF(K6="Prorata salaires",Paramètres!$B$9,IF(K6="Personne 1 seul",1,IF(K6="Personne 2 seul",0,0.5)))))</f>
        <v/>
      </c>
      <c r="M6" s="6" t="str">
        <f aca="false">IF(A6="","",F6*L6)</f>
        <v/>
      </c>
      <c r="N6" s="6" t="str">
        <f aca="false">IF(A6="","",F6-M6)</f>
        <v/>
      </c>
    </row>
    <row r="7" customFormat="false" ht="15" hidden="false" customHeight="false" outlineLevel="0" collapsed="false">
      <c r="A7" s="13"/>
      <c r="B7" s="13"/>
      <c r="C7" s="13"/>
      <c r="D7" s="13"/>
      <c r="E7" s="18"/>
      <c r="F7" s="6" t="str">
        <f aca="false">IF(A7="","",IFERROR(E7/INDEX(Paramètres!$E$4:$E$7,MATCH(D7,Paramètres!$D$4:$D$7,0)),0))</f>
        <v/>
      </c>
      <c r="G7" s="13"/>
      <c r="H7" s="13"/>
      <c r="I7" s="13"/>
      <c r="J7" s="13"/>
      <c r="K7" s="13"/>
      <c r="L7" s="7" t="str">
        <f aca="false">IF(A7="","",IF(K7="50/50",0.5,IF(K7="Prorata salaires",Paramètres!$B$9,IF(K7="Personne 1 seul",1,IF(K7="Personne 2 seul",0,0.5)))))</f>
        <v/>
      </c>
      <c r="M7" s="6" t="str">
        <f aca="false">IF(A7="","",F7*L7)</f>
        <v/>
      </c>
      <c r="N7" s="6" t="str">
        <f aca="false">IF(A7="","",F7-M7)</f>
        <v/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  <c r="J8" s="13"/>
      <c r="K8" s="13"/>
      <c r="L8" s="7" t="str">
        <f aca="false">IF(A8="","",IF(K8="50/50",0.5,IF(K8="Prorata salaires",Paramètres!$B$9,IF(K8="Personne 1 seul",1,IF(K8="Personne 2 seul",0,0.5)))))</f>
        <v/>
      </c>
      <c r="M8" s="6" t="str">
        <f aca="false">IF(A8="","",F8*L8)</f>
        <v/>
      </c>
      <c r="N8" s="6" t="str">
        <f aca="false">IF(A8="","",F8-M8)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  <c r="J9" s="13"/>
      <c r="K9" s="13"/>
      <c r="L9" s="7" t="str">
        <f aca="false">IF(A9="","",IF(K9="50/50",0.5,IF(K9="Prorata salaires",Paramètres!$B$9,IF(K9="Personne 1 seul",1,IF(K9="Personne 2 seul",0,0.5)))))</f>
        <v/>
      </c>
      <c r="M9" s="6" t="str">
        <f aca="false">IF(A9="","",F9*L9)</f>
        <v/>
      </c>
      <c r="N9" s="6" t="str">
        <f aca="false">IF(A9="","",F9-M9)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  <c r="J10" s="13"/>
      <c r="K10" s="13"/>
      <c r="L10" s="7" t="str">
        <f aca="false">IF(A10="","",IF(K10="50/50",0.5,IF(K10="Prorata salaires",Paramètres!$B$9,IF(K10="Personne 1 seul",1,IF(K10="Personne 2 seul",0,0.5)))))</f>
        <v/>
      </c>
      <c r="M10" s="6" t="str">
        <f aca="false">IF(A10="","",F10*L10)</f>
        <v/>
      </c>
      <c r="N10" s="6" t="str">
        <f aca="false">IF(A10="","",F10-M10)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  <c r="J11" s="13"/>
      <c r="K11" s="13"/>
      <c r="L11" s="7" t="str">
        <f aca="false">IF(A11="","",IF(K11="50/50",0.5,IF(K11="Prorata salaires",Paramètres!$B$9,IF(K11="Personne 1 seul",1,IF(K11="Personne 2 seul",0,0.5)))))</f>
        <v/>
      </c>
      <c r="M11" s="6" t="str">
        <f aca="false">IF(A11="","",F11*L11)</f>
        <v/>
      </c>
      <c r="N11" s="6" t="str">
        <f aca="false">IF(A11="","",F11-M11)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  <c r="J12" s="13"/>
      <c r="K12" s="13"/>
      <c r="L12" s="7" t="str">
        <f aca="false">IF(A12="","",IF(K12="50/50",0.5,IF(K12="Prorata salaires",Paramètres!$B$9,IF(K12="Personne 1 seul",1,IF(K12="Personne 2 seul",0,0.5)))))</f>
        <v/>
      </c>
      <c r="M12" s="6" t="str">
        <f aca="false">IF(A12="","",F12*L12)</f>
        <v/>
      </c>
      <c r="N12" s="6" t="str">
        <f aca="false">IF(A12="","",F12-M12)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  <c r="J13" s="13"/>
      <c r="K13" s="13"/>
      <c r="L13" s="7" t="str">
        <f aca="false">IF(A13="","",IF(K13="50/50",0.5,IF(K13="Prorata salaires",Paramètres!$B$9,IF(K13="Personne 1 seul",1,IF(K13="Personne 2 seul",0,0.5)))))</f>
        <v/>
      </c>
      <c r="M13" s="6" t="str">
        <f aca="false">IF(A13="","",F13*L13)</f>
        <v/>
      </c>
      <c r="N13" s="6" t="str">
        <f aca="false">IF(A13="","",F13-M13)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  <c r="J14" s="13"/>
      <c r="K14" s="13"/>
      <c r="L14" s="7" t="str">
        <f aca="false">IF(A14="","",IF(K14="50/50",0.5,IF(K14="Prorata salaires",Paramètres!$B$9,IF(K14="Personne 1 seul",1,IF(K14="Personne 2 seul",0,0.5)))))</f>
        <v/>
      </c>
      <c r="M14" s="6" t="str">
        <f aca="false">IF(A14="","",F14*L14)</f>
        <v/>
      </c>
      <c r="N14" s="6" t="str">
        <f aca="false">IF(A14="","",F14-M14)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  <c r="J15" s="13"/>
      <c r="K15" s="13"/>
      <c r="L15" s="7" t="str">
        <f aca="false">IF(A15="","",IF(K15="50/50",0.5,IF(K15="Prorata salaires",Paramètres!$B$9,IF(K15="Personne 1 seul",1,IF(K15="Personne 2 seul",0,0.5)))))</f>
        <v/>
      </c>
      <c r="M15" s="6" t="str">
        <f aca="false">IF(A15="","",F15*L15)</f>
        <v/>
      </c>
      <c r="N15" s="6" t="str">
        <f aca="false">IF(A15="","",F15-M15)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  <c r="J16" s="13"/>
      <c r="K16" s="13"/>
      <c r="L16" s="7" t="str">
        <f aca="false">IF(A16="","",IF(K16="50/50",0.5,IF(K16="Prorata salaires",Paramètres!$B$9,IF(K16="Personne 1 seul",1,IF(K16="Personne 2 seul",0,0.5)))))</f>
        <v/>
      </c>
      <c r="M16" s="6" t="str">
        <f aca="false">IF(A16="","",F16*L16)</f>
        <v/>
      </c>
      <c r="N16" s="6" t="str">
        <f aca="false">IF(A16="","",F16-M16)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  <c r="J17" s="13"/>
      <c r="K17" s="13"/>
      <c r="L17" s="7" t="str">
        <f aca="false">IF(A17="","",IF(K17="50/50",0.5,IF(K17="Prorata salaires",Paramètres!$B$9,IF(K17="Personne 1 seul",1,IF(K17="Personne 2 seul",0,0.5)))))</f>
        <v/>
      </c>
      <c r="M17" s="6" t="str">
        <f aca="false">IF(A17="","",F17*L17)</f>
        <v/>
      </c>
      <c r="N17" s="6" t="str">
        <f aca="false">IF(A17="","",F17-M17)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  <c r="J18" s="13"/>
      <c r="K18" s="13"/>
      <c r="L18" s="7" t="str">
        <f aca="false">IF(A18="","",IF(K18="50/50",0.5,IF(K18="Prorata salaires",Paramètres!$B$9,IF(K18="Personne 1 seul",1,IF(K18="Personne 2 seul",0,0.5)))))</f>
        <v/>
      </c>
      <c r="M18" s="6" t="str">
        <f aca="false">IF(A18="","",F18*L18)</f>
        <v/>
      </c>
      <c r="N18" s="6" t="str">
        <f aca="false">IF(A18="","",F18-M18)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  <c r="J19" s="13"/>
      <c r="K19" s="13"/>
      <c r="L19" s="7" t="str">
        <f aca="false">IF(A19="","",IF(K19="50/50",0.5,IF(K19="Prorata salaires",Paramètres!$B$9,IF(K19="Personne 1 seul",1,IF(K19="Personne 2 seul",0,0.5)))))</f>
        <v/>
      </c>
      <c r="M19" s="6" t="str">
        <f aca="false">IF(A19="","",F19*L19)</f>
        <v/>
      </c>
      <c r="N19" s="6" t="str">
        <f aca="false">IF(A19="","",F19-M19)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  <c r="J20" s="13"/>
      <c r="K20" s="13"/>
      <c r="L20" s="7" t="str">
        <f aca="false">IF(A20="","",IF(K20="50/50",0.5,IF(K20="Prorata salaires",Paramètres!$B$9,IF(K20="Personne 1 seul",1,IF(K20="Personne 2 seul",0,0.5)))))</f>
        <v/>
      </c>
      <c r="M20" s="6" t="str">
        <f aca="false">IF(A20="","",F20*L20)</f>
        <v/>
      </c>
      <c r="N20" s="6" t="str">
        <f aca="false">IF(A20="","",F20-M20)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  <c r="J21" s="13"/>
      <c r="K21" s="13"/>
      <c r="L21" s="7" t="str">
        <f aca="false">IF(A21="","",IF(K21="50/50",0.5,IF(K21="Prorata salaires",Paramètres!$B$9,IF(K21="Personne 1 seul",1,IF(K21="Personne 2 seul",0,0.5)))))</f>
        <v/>
      </c>
      <c r="M21" s="6" t="str">
        <f aca="false">IF(A21="","",F21*L21)</f>
        <v/>
      </c>
      <c r="N21" s="6" t="str">
        <f aca="false">IF(A21="","",F21-M21)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1" t="s">
        <v>77</v>
      </c>
      <c r="F55" s="9" t="n">
        <f aca="false">SUM(F5:F54)</f>
        <v>0</v>
      </c>
      <c r="M55" s="9" t="n">
        <f aca="false">SUM(M5:M54)</f>
        <v>0</v>
      </c>
      <c r="N55" s="9" t="n">
        <f aca="false">SUM(N5:N54)</f>
        <v>0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4" customFormat="false" ht="42" hidden="false" customHeight="true" outlineLevel="0" collapsed="false">
      <c r="A4" s="4" t="s">
        <v>66</v>
      </c>
      <c r="B4" s="4" t="s">
        <v>18</v>
      </c>
      <c r="C4" s="4" t="s">
        <v>3</v>
      </c>
      <c r="D4" s="4" t="s">
        <v>69</v>
      </c>
      <c r="E4" s="4" t="s">
        <v>32</v>
      </c>
      <c r="F4" s="4" t="s">
        <v>70</v>
      </c>
      <c r="G4" s="4" t="s">
        <v>80</v>
      </c>
      <c r="H4" s="4" t="s">
        <v>74</v>
      </c>
    </row>
    <row r="5" customFormat="false" ht="15" hidden="false" customHeight="false" outlineLevel="0" collapsed="false">
      <c r="A5" s="13"/>
      <c r="B5" s="13"/>
      <c r="C5" s="13"/>
      <c r="D5" s="18"/>
      <c r="E5" s="13"/>
      <c r="F5" s="6" t="str">
        <f aca="false">IF(A5="","",IFERROR(D5/INDEX(Paramètres!$E$4:$E$7,MATCH(E5,Paramètres!$D$4:$D$7,0)),0))</f>
        <v/>
      </c>
      <c r="G5" s="13"/>
      <c r="H5" s="13"/>
    </row>
    <row r="6" customFormat="false" ht="15" hidden="false" customHeight="false" outlineLevel="0" collapsed="false">
      <c r="A6" s="13"/>
      <c r="B6" s="13"/>
      <c r="C6" s="13"/>
      <c r="D6" s="18"/>
      <c r="E6" s="13"/>
      <c r="F6" s="6" t="str">
        <f aca="false">IF(A6="","",IFERROR(D6/INDEX(Paramètres!$E$4:$E$7,MATCH(E6,Paramètres!$D$4:$D$7,0)),0))</f>
        <v/>
      </c>
      <c r="G6" s="13"/>
      <c r="H6" s="13"/>
    </row>
    <row r="7" customFormat="false" ht="15" hidden="false" customHeight="false" outlineLevel="0" collapsed="false">
      <c r="A7" s="13"/>
      <c r="B7" s="13"/>
      <c r="C7" s="13"/>
      <c r="D7" s="18"/>
      <c r="E7" s="13"/>
      <c r="F7" s="6" t="str">
        <f aca="false">IF(A7="","",IFERROR(D7/INDEX(Paramètres!$E$4:$E$7,MATCH(E7,Paramètres!$D$4:$D$7,0)),0))</f>
        <v/>
      </c>
      <c r="G7" s="13"/>
      <c r="H7" s="13"/>
    </row>
    <row r="8" customFormat="false" ht="15" hidden="false" customHeight="false" outlineLevel="0" collapsed="false">
      <c r="A8" s="13"/>
      <c r="B8" s="13"/>
      <c r="C8" s="13"/>
      <c r="D8" s="18"/>
      <c r="E8" s="13"/>
      <c r="F8" s="6" t="str">
        <f aca="false">IF(A8="","",IFERROR(D8/INDEX(Paramètres!$E$4:$E$7,MATCH(E8,Paramètres!$D$4:$D$7,0)),0))</f>
        <v/>
      </c>
      <c r="G8" s="13"/>
      <c r="H8" s="13"/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1" t="s">
        <v>77</v>
      </c>
      <c r="F25" s="9" t="n">
        <f aca="false">SUM(F5:F24)</f>
        <v>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4" customFormat="false" ht="42" hidden="false" customHeight="true" outlineLevel="0" collapsed="false">
      <c r="A4" s="4" t="s">
        <v>66</v>
      </c>
      <c r="B4" s="4" t="s">
        <v>3</v>
      </c>
      <c r="C4" s="4" t="s">
        <v>67</v>
      </c>
      <c r="D4" s="4" t="s">
        <v>32</v>
      </c>
      <c r="E4" s="4" t="s">
        <v>69</v>
      </c>
      <c r="F4" s="4" t="s">
        <v>70</v>
      </c>
      <c r="G4" s="4" t="s">
        <v>71</v>
      </c>
      <c r="H4" s="4" t="s">
        <v>72</v>
      </c>
      <c r="I4" s="4" t="s">
        <v>74</v>
      </c>
    </row>
    <row r="5" customFormat="false" ht="15" hidden="false" customHeight="false" outlineLevel="0" collapsed="false">
      <c r="A5" s="13"/>
      <c r="B5" s="13"/>
      <c r="C5" s="13"/>
      <c r="D5" s="13"/>
      <c r="E5" s="18"/>
      <c r="F5" s="6" t="str">
        <f aca="false">IF(A5="","",IFERROR(E5/INDEX(Paramètres!$E$4:$E$7,MATCH(D5,Paramètres!$D$4:$D$7,0)),0))</f>
        <v/>
      </c>
      <c r="G5" s="13"/>
      <c r="H5" s="13"/>
      <c r="I5" s="13"/>
    </row>
    <row r="6" customFormat="false" ht="15" hidden="false" customHeight="false" outlineLevel="0" collapsed="false">
      <c r="A6" s="13"/>
      <c r="B6" s="13"/>
      <c r="C6" s="13"/>
      <c r="D6" s="13"/>
      <c r="E6" s="18"/>
      <c r="F6" s="6" t="str">
        <f aca="false">IF(A6="","",IFERROR(E6/INDEX(Paramètres!$E$4:$E$7,MATCH(D6,Paramètres!$D$4:$D$7,0)),0))</f>
        <v/>
      </c>
      <c r="G6" s="13"/>
      <c r="H6" s="13"/>
      <c r="I6" s="13"/>
    </row>
    <row r="7" customFormat="false" ht="15" hidden="false" customHeight="false" outlineLevel="0" collapsed="false">
      <c r="A7" s="13"/>
      <c r="B7" s="13"/>
      <c r="C7" s="13"/>
      <c r="D7" s="13"/>
      <c r="E7" s="18"/>
      <c r="F7" s="6" t="str">
        <f aca="false">IF(A7="","",IFERROR(E7/INDEX(Paramètres!$E$4:$E$7,MATCH(D7,Paramètres!$D$4:$D$7,0)),0))</f>
        <v/>
      </c>
      <c r="G7" s="13"/>
      <c r="H7" s="13"/>
      <c r="I7" s="13"/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</row>
    <row r="45" customFormat="false" ht="15" hidden="false" customHeight="false" outlineLevel="0" collapsed="false">
      <c r="A45" s="21" t="s">
        <v>77</v>
      </c>
      <c r="F45" s="9" t="n">
        <f aca="false">SUM(F5:F44)</f>
        <v>0</v>
      </c>
    </row>
  </sheetData>
  <dataValidations count="4">
    <dataValidation allowBlank="true" errorStyle="stop" operator="between" showDropDown="false" showErrorMessage="false" showInputMessage="false" sqref="G5:G44" type="list">
      <formula1>"Prélèvement,Carte,Chèque,Espèces,Virement"</formula1>
      <formula2>0</formula2>
    </dataValidation>
    <dataValidation allowBlank="true" errorStyle="stop" operator="between" showDropDown="false" showErrorMessage="false" showInputMessage="false" sqref="H5:H44" type="list">
      <formula1>Comptes!$A$5:$A$14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15" hidden="false" customHeight="false" outlineLevel="0" collapsed="false">
      <c r="A4" s="22" t="s">
        <v>85</v>
      </c>
      <c r="B4" s="6" t="n">
        <f aca="false">SUMIFS(Charges!$F$5:$F$54,Charges!$B$5:$B$54,"Imprévus")</f>
        <v>0</v>
      </c>
    </row>
    <row r="5" customFormat="false" ht="15" hidden="false" customHeight="false" outlineLevel="0" collapsed="false">
      <c r="A5" s="22" t="s">
        <v>86</v>
      </c>
      <c r="B5" s="23"/>
    </row>
    <row r="6" customFormat="false" ht="15" hidden="false" customHeight="false" outlineLevel="0" collapsed="false">
      <c r="A6" s="22" t="s">
        <v>87</v>
      </c>
      <c r="B6" s="18" t="n">
        <v>0</v>
      </c>
    </row>
    <row r="7" customFormat="false" ht="15" hidden="false" customHeight="false" outlineLevel="0" collapsed="false">
      <c r="A7" s="22" t="s">
        <v>88</v>
      </c>
      <c r="B7" s="24" t="n">
        <f aca="true">IF(B5="",0,MAX(0,(YEAR(TODAY())-YEAR(B5))*12+MONTH(TODAY())-MONTH(B5)+1))</f>
        <v>0</v>
      </c>
    </row>
    <row r="8" customFormat="false" ht="15" hidden="false" customHeight="false" outlineLevel="0" collapsed="false">
      <c r="A8" s="22" t="s">
        <v>89</v>
      </c>
      <c r="B8" s="6" t="n">
        <f aca="false">B6+B4*B7</f>
        <v>0</v>
      </c>
    </row>
    <row r="9" customFormat="false" ht="15" hidden="false" customHeight="false" outlineLevel="0" collapsed="false">
      <c r="A9" s="22" t="s">
        <v>90</v>
      </c>
      <c r="B9" s="6" t="n">
        <f aca="false">SUM(C13:C62)</f>
        <v>0</v>
      </c>
    </row>
    <row r="10" customFormat="false" ht="15" hidden="false" customHeight="false" outlineLevel="0" collapsed="false">
      <c r="A10" s="12" t="s">
        <v>91</v>
      </c>
      <c r="B10" s="9" t="n">
        <f aca="false">B8-B9</f>
        <v>0</v>
      </c>
    </row>
    <row r="11" customFormat="false" ht="15" hidden="false" customHeight="false" outlineLevel="0" collapsed="false">
      <c r="A11" s="2" t="s">
        <v>92</v>
      </c>
    </row>
    <row r="12" customFormat="false" ht="42" hidden="false" customHeight="true" outlineLevel="0" collapsed="false">
      <c r="A12" s="4" t="s">
        <v>93</v>
      </c>
      <c r="B12" s="4" t="s">
        <v>66</v>
      </c>
      <c r="C12" s="4" t="s">
        <v>94</v>
      </c>
      <c r="D12" s="4" t="s">
        <v>95</v>
      </c>
    </row>
    <row r="13" customFormat="false" ht="15" hidden="false" customHeight="false" outlineLevel="0" collapsed="false">
      <c r="A13" s="23"/>
      <c r="B13" s="13"/>
      <c r="C13" s="18"/>
      <c r="D13" s="13"/>
    </row>
    <row r="14" customFormat="false" ht="15" hidden="false" customHeight="false" outlineLevel="0" collapsed="false">
      <c r="A14" s="23"/>
      <c r="B14" s="13"/>
      <c r="C14" s="18"/>
      <c r="D14" s="13"/>
    </row>
    <row r="15" customFormat="false" ht="15" hidden="false" customHeight="false" outlineLevel="0" collapsed="false">
      <c r="A15" s="23"/>
      <c r="B15" s="13"/>
      <c r="C15" s="18"/>
      <c r="D15" s="13"/>
    </row>
    <row r="16" customFormat="false" ht="15" hidden="false" customHeight="false" outlineLevel="0" collapsed="false">
      <c r="A16" s="23"/>
      <c r="B16" s="13"/>
      <c r="C16" s="18"/>
      <c r="D16" s="13"/>
    </row>
    <row r="17" customFormat="false" ht="15" hidden="false" customHeight="false" outlineLevel="0" collapsed="false">
      <c r="A17" s="23"/>
      <c r="B17" s="13"/>
      <c r="C17" s="18"/>
      <c r="D17" s="13"/>
    </row>
    <row r="18" customFormat="false" ht="15" hidden="false" customHeight="false" outlineLevel="0" collapsed="false">
      <c r="A18" s="23"/>
      <c r="B18" s="13"/>
      <c r="C18" s="18"/>
      <c r="D18" s="13"/>
    </row>
    <row r="19" customFormat="false" ht="15" hidden="false" customHeight="false" outlineLevel="0" collapsed="false">
      <c r="A19" s="23"/>
      <c r="B19" s="13"/>
      <c r="C19" s="18"/>
      <c r="D19" s="13"/>
    </row>
    <row r="20" customFormat="false" ht="15" hidden="false" customHeight="false" outlineLevel="0" collapsed="false">
      <c r="A20" s="23"/>
      <c r="B20" s="13"/>
      <c r="C20" s="18"/>
      <c r="D20" s="13"/>
    </row>
    <row r="21" customFormat="false" ht="15" hidden="false" customHeight="false" outlineLevel="0" collapsed="false">
      <c r="A21" s="23"/>
      <c r="B21" s="13"/>
      <c r="C21" s="18"/>
      <c r="D21" s="13"/>
    </row>
    <row r="22" customFormat="false" ht="15" hidden="false" customHeight="false" outlineLevel="0" collapsed="false">
      <c r="A22" s="23"/>
      <c r="B22" s="13"/>
      <c r="C22" s="18"/>
      <c r="D22" s="13"/>
    </row>
    <row r="23" customFormat="false" ht="15" hidden="false" customHeight="false" outlineLevel="0" collapsed="false">
      <c r="A23" s="23"/>
      <c r="B23" s="13"/>
      <c r="C23" s="18"/>
      <c r="D23" s="13"/>
    </row>
    <row r="24" customFormat="false" ht="15" hidden="false" customHeight="false" outlineLevel="0" collapsed="false">
      <c r="A24" s="23"/>
      <c r="B24" s="13"/>
      <c r="C24" s="18"/>
      <c r="D24" s="13"/>
    </row>
    <row r="25" customFormat="false" ht="15" hidden="false" customHeight="false" outlineLevel="0" collapsed="false">
      <c r="A25" s="23"/>
      <c r="B25" s="13"/>
      <c r="C25" s="18"/>
      <c r="D25" s="13"/>
    </row>
    <row r="26" customFormat="false" ht="15" hidden="false" customHeight="false" outlineLevel="0" collapsed="false">
      <c r="A26" s="23"/>
      <c r="B26" s="13"/>
      <c r="C26" s="18"/>
      <c r="D26" s="13"/>
    </row>
    <row r="27" customFormat="false" ht="15" hidden="false" customHeight="false" outlineLevel="0" collapsed="false">
      <c r="A27" s="23"/>
      <c r="B27" s="13"/>
      <c r="C27" s="18"/>
      <c r="D27" s="13"/>
    </row>
    <row r="28" customFormat="false" ht="15" hidden="false" customHeight="false" outlineLevel="0" collapsed="false">
      <c r="A28" s="23"/>
      <c r="B28" s="13"/>
      <c r="C28" s="18"/>
      <c r="D28" s="13"/>
    </row>
    <row r="29" customFormat="false" ht="15" hidden="false" customHeight="false" outlineLevel="0" collapsed="false">
      <c r="A29" s="23"/>
      <c r="B29" s="13"/>
      <c r="C29" s="18"/>
      <c r="D29" s="13"/>
    </row>
    <row r="30" customFormat="false" ht="15" hidden="false" customHeight="false" outlineLevel="0" collapsed="false">
      <c r="A30" s="23"/>
      <c r="B30" s="13"/>
      <c r="C30" s="18"/>
      <c r="D30" s="13"/>
    </row>
    <row r="31" customFormat="false" ht="15" hidden="false" customHeight="false" outlineLevel="0" collapsed="false">
      <c r="A31" s="23"/>
      <c r="B31" s="13"/>
      <c r="C31" s="18"/>
      <c r="D31" s="13"/>
    </row>
    <row r="32" customFormat="false" ht="15" hidden="false" customHeight="false" outlineLevel="0" collapsed="false">
      <c r="A32" s="23"/>
      <c r="B32" s="13"/>
      <c r="C32" s="18"/>
      <c r="D32" s="13"/>
    </row>
    <row r="33" customFormat="false" ht="15" hidden="false" customHeight="false" outlineLevel="0" collapsed="false">
      <c r="A33" s="23"/>
      <c r="B33" s="13"/>
      <c r="C33" s="18"/>
      <c r="D33" s="13"/>
    </row>
    <row r="34" customFormat="false" ht="15" hidden="false" customHeight="false" outlineLevel="0" collapsed="false">
      <c r="A34" s="23"/>
      <c r="B34" s="13"/>
      <c r="C34" s="18"/>
      <c r="D34" s="13"/>
    </row>
    <row r="35" customFormat="false" ht="15" hidden="false" customHeight="false" outlineLevel="0" collapsed="false">
      <c r="A35" s="23"/>
      <c r="B35" s="13"/>
      <c r="C35" s="18"/>
      <c r="D35" s="13"/>
    </row>
    <row r="36" customFormat="false" ht="15" hidden="false" customHeight="false" outlineLevel="0" collapsed="false">
      <c r="A36" s="23"/>
      <c r="B36" s="13"/>
      <c r="C36" s="18"/>
      <c r="D36" s="13"/>
    </row>
    <row r="37" customFormat="false" ht="15" hidden="false" customHeight="false" outlineLevel="0" collapsed="false">
      <c r="A37" s="23"/>
      <c r="B37" s="13"/>
      <c r="C37" s="18"/>
      <c r="D37" s="13"/>
    </row>
    <row r="38" customFormat="false" ht="15" hidden="false" customHeight="false" outlineLevel="0" collapsed="false">
      <c r="A38" s="23"/>
      <c r="B38" s="13"/>
      <c r="C38" s="18"/>
      <c r="D38" s="13"/>
    </row>
    <row r="39" customFormat="false" ht="15" hidden="false" customHeight="false" outlineLevel="0" collapsed="false">
      <c r="A39" s="23"/>
      <c r="B39" s="13"/>
      <c r="C39" s="18"/>
      <c r="D39" s="13"/>
    </row>
    <row r="40" customFormat="false" ht="15" hidden="false" customHeight="false" outlineLevel="0" collapsed="false">
      <c r="A40" s="23"/>
      <c r="B40" s="13"/>
      <c r="C40" s="18"/>
      <c r="D40" s="13"/>
    </row>
    <row r="41" customFormat="false" ht="15" hidden="false" customHeight="false" outlineLevel="0" collapsed="false">
      <c r="A41" s="23"/>
      <c r="B41" s="13"/>
      <c r="C41" s="18"/>
      <c r="D41" s="13"/>
    </row>
    <row r="42" customFormat="false" ht="15" hidden="false" customHeight="false" outlineLevel="0" collapsed="false">
      <c r="A42" s="23"/>
      <c r="B42" s="13"/>
      <c r="C42" s="18"/>
      <c r="D42" s="13"/>
    </row>
    <row r="43" customFormat="false" ht="15" hidden="false" customHeight="false" outlineLevel="0" collapsed="false">
      <c r="A43" s="23"/>
      <c r="B43" s="13"/>
      <c r="C43" s="18"/>
      <c r="D43" s="13"/>
    </row>
    <row r="44" customFormat="false" ht="15" hidden="false" customHeight="false" outlineLevel="0" collapsed="false">
      <c r="A44" s="23"/>
      <c r="B44" s="13"/>
      <c r="C44" s="18"/>
      <c r="D44" s="13"/>
    </row>
    <row r="45" customFormat="false" ht="15" hidden="false" customHeight="false" outlineLevel="0" collapsed="false">
      <c r="A45" s="23"/>
      <c r="B45" s="13"/>
      <c r="C45" s="18"/>
      <c r="D45" s="13"/>
    </row>
    <row r="46" customFormat="false" ht="15" hidden="false" customHeight="false" outlineLevel="0" collapsed="false">
      <c r="A46" s="23"/>
      <c r="B46" s="13"/>
      <c r="C46" s="18"/>
      <c r="D46" s="13"/>
    </row>
    <row r="47" customFormat="false" ht="15" hidden="false" customHeight="false" outlineLevel="0" collapsed="false">
      <c r="A47" s="23"/>
      <c r="B47" s="13"/>
      <c r="C47" s="18"/>
      <c r="D47" s="13"/>
    </row>
    <row r="48" customFormat="false" ht="15" hidden="false" customHeight="false" outlineLevel="0" collapsed="false">
      <c r="A48" s="23"/>
      <c r="B48" s="13"/>
      <c r="C48" s="18"/>
      <c r="D48" s="13"/>
    </row>
    <row r="49" customFormat="false" ht="15" hidden="false" customHeight="false" outlineLevel="0" collapsed="false">
      <c r="A49" s="23"/>
      <c r="B49" s="13"/>
      <c r="C49" s="18"/>
      <c r="D49" s="13"/>
    </row>
    <row r="50" customFormat="false" ht="15" hidden="false" customHeight="false" outlineLevel="0" collapsed="false">
      <c r="A50" s="23"/>
      <c r="B50" s="13"/>
      <c r="C50" s="18"/>
      <c r="D50" s="13"/>
    </row>
    <row r="51" customFormat="false" ht="15" hidden="false" customHeight="false" outlineLevel="0" collapsed="false">
      <c r="A51" s="23"/>
      <c r="B51" s="13"/>
      <c r="C51" s="18"/>
      <c r="D51" s="13"/>
    </row>
    <row r="52" customFormat="false" ht="15" hidden="false" customHeight="false" outlineLevel="0" collapsed="false">
      <c r="A52" s="23"/>
      <c r="B52" s="13"/>
      <c r="C52" s="18"/>
      <c r="D52" s="13"/>
    </row>
    <row r="53" customFormat="false" ht="15" hidden="false" customHeight="false" outlineLevel="0" collapsed="false">
      <c r="A53" s="23"/>
      <c r="B53" s="13"/>
      <c r="C53" s="18"/>
      <c r="D53" s="13"/>
    </row>
    <row r="54" customFormat="false" ht="15" hidden="false" customHeight="false" outlineLevel="0" collapsed="false">
      <c r="A54" s="23"/>
      <c r="B54" s="13"/>
      <c r="C54" s="18"/>
      <c r="D54" s="13"/>
    </row>
    <row r="55" customFormat="false" ht="15" hidden="false" customHeight="false" outlineLevel="0" collapsed="false">
      <c r="A55" s="23"/>
      <c r="B55" s="13"/>
      <c r="C55" s="18"/>
      <c r="D55" s="13"/>
    </row>
    <row r="56" customFormat="false" ht="15" hidden="false" customHeight="false" outlineLevel="0" collapsed="false">
      <c r="A56" s="23"/>
      <c r="B56" s="13"/>
      <c r="C56" s="18"/>
      <c r="D56" s="13"/>
    </row>
    <row r="57" customFormat="false" ht="15" hidden="false" customHeight="false" outlineLevel="0" collapsed="false">
      <c r="A57" s="23"/>
      <c r="B57" s="13"/>
      <c r="C57" s="18"/>
      <c r="D57" s="13"/>
    </row>
    <row r="58" customFormat="false" ht="15" hidden="false" customHeight="false" outlineLevel="0" collapsed="false">
      <c r="A58" s="23"/>
      <c r="B58" s="13"/>
      <c r="C58" s="18"/>
      <c r="D58" s="13"/>
    </row>
    <row r="59" customFormat="false" ht="15" hidden="false" customHeight="false" outlineLevel="0" collapsed="false">
      <c r="A59" s="23"/>
      <c r="B59" s="13"/>
      <c r="C59" s="18"/>
      <c r="D59" s="13"/>
    </row>
    <row r="60" customFormat="false" ht="15" hidden="false" customHeight="false" outlineLevel="0" collapsed="false">
      <c r="A60" s="23"/>
      <c r="B60" s="13"/>
      <c r="C60" s="18"/>
      <c r="D60" s="13"/>
    </row>
    <row r="61" customFormat="false" ht="15" hidden="false" customHeight="false" outlineLevel="0" collapsed="false">
      <c r="A61" s="23"/>
      <c r="B61" s="13"/>
      <c r="C61" s="18"/>
      <c r="D61" s="13"/>
    </row>
    <row r="62" customFormat="false" ht="15" hidden="false" customHeight="false" outlineLevel="0" collapsed="false">
      <c r="A62" s="23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2026-10-27T16:30:45Z</dcterms:created>
  <dc:creator>openpyxl</dc:creator>
  <dc:description/>
  <dc:language>en-US</dc:language>
  <cp:lastModifiedBy/>
  <dcterms:modified xsi:type="dcterms:W3CDTF">2026-10-27T16:30:45Z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