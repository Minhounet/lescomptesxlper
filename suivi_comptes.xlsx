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<sst xmlns="http://schemas.openxmlformats.org/spreadsheetml/2006/main" count="283" uniqueCount="161">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</sst>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1298.22324557302</v>
      </c>
      <c r="D5" s="6" t="n">
        <f aca="false">IFERROR(INDEX($C$13:$C$22,MATCH(Paramètres!$B$6,$A$13:$A$22,0)),0)</f>
        <v>0</v>
      </c>
      <c r="E5" s="6" t="n">
        <f aca="false">C5+D5</f>
        <v>1298.22324557302</v>
      </c>
      <c r="F5" s="7" t="n">
        <f aca="false">IF(B5=0,0,E5/B5)</f>
        <v>0.540926352322094</v>
      </c>
      <c r="G5" s="6" t="n">
        <f aca="false">IFERROR(INDEX($J$13:$J$22,MATCH(Paramètres!$B$6,$A$13:$A$22,0)),0)</f>
        <v>1101.77675442698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1015.77675442698</v>
      </c>
      <c r="J5" s="6" t="n">
        <f aca="false">MAX(0,IF(Paramètres!B$17="Pourcentage",Paramètres!B$18*MAX(0,I5),Paramètres!B$19))</f>
        <v>304.733026328093</v>
      </c>
      <c r="K5" s="6" t="n">
        <f aca="false">I5-J5</f>
        <v>711.043728098883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1095.77675442698</v>
      </c>
      <c r="D6" s="6" t="n">
        <f aca="false">IFERROR(INDEX($C$13:$C$22,MATCH(Paramètres!$B$7,$A$13:$A$22,0)),0)</f>
        <v>28</v>
      </c>
      <c r="E6" s="6" t="n">
        <f aca="false">C6+D6</f>
        <v>1123.77675442698</v>
      </c>
      <c r="F6" s="7" t="n">
        <f aca="false">IF(B6=0,0,E6/B6)</f>
        <v>0.591461449698408</v>
      </c>
      <c r="G6" s="6" t="n">
        <f aca="false">IFERROR(INDEX($J$13:$J$22,MATCH(Paramètres!$B$7,$A$13:$A$22,0)),0)</f>
        <v>776.223245573025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426.223245573025</v>
      </c>
      <c r="J6" s="6" t="n">
        <f aca="false">MAX(0,IF(Paramètres!C$17="Pourcentage",Paramètres!C$18*MAX(0,I6),Paramètres!C$19))</f>
        <v>200</v>
      </c>
      <c r="K6" s="6" t="n">
        <f aca="false">I6-J6</f>
        <v>226.223245573025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2394</v>
      </c>
      <c r="D7" s="9" t="n">
        <f aca="false">SUM(D5:D6)</f>
        <v>28</v>
      </c>
      <c r="E7" s="9" t="n">
        <f aca="false">SUM(E5:E6)</f>
        <v>2422</v>
      </c>
      <c r="F7" s="10" t="n">
        <f aca="false">IF(B7=0,0,E7/B7)</f>
        <v>0.563255813953488</v>
      </c>
      <c r="G7" s="9" t="n">
        <f aca="false">SUM(G5:G6)</f>
        <v>1878</v>
      </c>
      <c r="H7" s="9" t="n">
        <f aca="false">SUM(H5:H6)</f>
        <v>436</v>
      </c>
      <c r="I7" s="9" t="n">
        <f aca="false">SUM(I5:I6)</f>
        <v>1442</v>
      </c>
      <c r="J7" s="9" t="n">
        <f aca="false">SUM(J5:J6)</f>
        <v>504.733026328093</v>
      </c>
      <c r="K7" s="9" t="n">
        <f aca="false">SUM(K5:K6)</f>
        <v>937.266973671907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1298.22324557302</v>
      </c>
      <c r="J13" s="6" t="n">
        <f aca="false">IF($A13="","",G13+D13+H13+IF(B13="Joint",E13+F13,0)-C13-I13)</f>
        <v>1101.77675442698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1095.77675442698</v>
      </c>
      <c r="J14" s="6" t="n">
        <f aca="false">IF($A14="","",G14+D14+H14+IF(B14="Joint",E14+F14,0)-C14-I14)</f>
        <v>776.223245573025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1160.66666666667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493.397664177676</v>
      </c>
      <c r="F16" s="11" t="n">
        <f aca="false">IF($A16="","",IF($B16="Joint",IF($C16=0,0,($C16-$D16)*SUMIFS(Charges!$N$5:$N$54,Charges!$H$5:$H$54,$A16)/$C16),0))</f>
        <v>437.269002488991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2652</v>
      </c>
      <c r="D23" s="9" t="n">
        <f aca="false">SUM(D13:D22)</f>
        <v>230</v>
      </c>
      <c r="E23" s="9" t="n">
        <f aca="false">SUM(E13:E22)</f>
        <v>1298.22324557302</v>
      </c>
      <c r="F23" s="9" t="n">
        <f aca="false">SUM(F13:F22)</f>
        <v>1095.77675442698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2394</v>
      </c>
      <c r="J23" s="9" t="n">
        <f aca="false">SUM(J13:J22)</f>
        <v>2157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1581.33333333333</v>
      </c>
      <c r="C28" s="7" t="n">
        <f aca="false">IF($B$30=0,0,B28/$B$30)</f>
        <v>0.596279537456008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1070.66666666667</v>
      </c>
      <c r="C29" s="7" t="n">
        <f aca="false">IF($B$30=0,0,B29/$B$30)</f>
        <v>0.403720462543992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2652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 t="s">
        <v>81</v>
      </c>
      <c r="B11" s="13" t="s">
        <v>79</v>
      </c>
      <c r="C11" s="13" t="s">
        <v>72</v>
      </c>
      <c r="D11" s="13" t="s">
        <v>82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85</v>
      </c>
      <c r="B4" s="4" t="s">
        <v>86</v>
      </c>
      <c r="C4" s="4" t="s">
        <v>87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92</v>
      </c>
      <c r="J4" s="4" t="s">
        <v>93</v>
      </c>
      <c r="K4" s="4" t="s">
        <v>94</v>
      </c>
      <c r="L4" s="4" t="s">
        <v>95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96</v>
      </c>
      <c r="B5" s="13" t="s">
        <v>97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98</v>
      </c>
      <c r="H5" s="13" t="s">
        <v>70</v>
      </c>
      <c r="I5" s="13"/>
      <c r="J5" s="13" t="n">
        <v>5</v>
      </c>
      <c r="K5" s="13" t="s">
        <v>99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100</v>
      </c>
      <c r="B6" s="13" t="s">
        <v>97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98</v>
      </c>
      <c r="H6" s="13" t="s">
        <v>70</v>
      </c>
      <c r="I6" s="13"/>
      <c r="J6" s="13" t="n">
        <v>5</v>
      </c>
      <c r="K6" s="13" t="s">
        <v>101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102</v>
      </c>
      <c r="B7" s="13" t="s">
        <v>97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98</v>
      </c>
      <c r="H7" s="13" t="s">
        <v>70</v>
      </c>
      <c r="I7" s="13"/>
      <c r="J7" s="13" t="n">
        <v>15</v>
      </c>
      <c r="K7" s="13" t="s">
        <v>99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103</v>
      </c>
      <c r="B8" s="13" t="s">
        <v>104</v>
      </c>
      <c r="C8" s="13" t="s">
        <v>105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98</v>
      </c>
      <c r="H8" s="13" t="s">
        <v>70</v>
      </c>
      <c r="I8" s="13"/>
      <c r="J8" s="13" t="n">
        <v>12</v>
      </c>
      <c r="K8" s="13" t="s">
        <v>101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106</v>
      </c>
      <c r="B9" s="13" t="s">
        <v>107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98</v>
      </c>
      <c r="H9" s="13" t="s">
        <v>76</v>
      </c>
      <c r="I9" s="13"/>
      <c r="J9" s="13" t="n">
        <v>10</v>
      </c>
      <c r="K9" s="13" t="s">
        <v>101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108</v>
      </c>
      <c r="B10" s="13" t="s">
        <v>109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98</v>
      </c>
      <c r="H10" s="13" t="s">
        <v>74</v>
      </c>
      <c r="I10" s="13"/>
      <c r="J10" s="13" t="n">
        <v>1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111</v>
      </c>
      <c r="B11" s="13" t="s">
        <v>107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98</v>
      </c>
      <c r="H11" s="13" t="s">
        <v>44</v>
      </c>
      <c r="I11" s="13"/>
      <c r="J11" s="13" t="n">
        <v>8</v>
      </c>
      <c r="K11" s="13" t="s">
        <v>112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113</v>
      </c>
      <c r="B12" s="13" t="s">
        <v>114</v>
      </c>
      <c r="C12" s="13" t="s">
        <v>105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115</v>
      </c>
      <c r="H12" s="13" t="s">
        <v>74</v>
      </c>
      <c r="I12" s="13"/>
      <c r="J12" s="13"/>
      <c r="K12" s="13" t="s">
        <v>101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116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117</v>
      </c>
      <c r="H13" s="13" t="s">
        <v>74</v>
      </c>
      <c r="I13" s="13" t="s">
        <v>78</v>
      </c>
      <c r="J13" s="13" t="n">
        <v>3</v>
      </c>
      <c r="K13" s="13" t="s">
        <v>101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118</v>
      </c>
      <c r="B14" s="13" t="s">
        <v>119</v>
      </c>
      <c r="C14" s="13" t="s">
        <v>105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117</v>
      </c>
      <c r="H14" s="13" t="s">
        <v>74</v>
      </c>
      <c r="I14" s="13" t="s">
        <v>120</v>
      </c>
      <c r="J14" s="13" t="n">
        <v>28</v>
      </c>
      <c r="K14" s="13" t="s">
        <v>101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121</v>
      </c>
      <c r="B15" s="13" t="s">
        <v>119</v>
      </c>
      <c r="C15" s="13" t="s">
        <v>105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115</v>
      </c>
      <c r="H15" s="13" t="s">
        <v>74</v>
      </c>
      <c r="I15" s="13"/>
      <c r="J15" s="13"/>
      <c r="K15" s="13" t="s">
        <v>101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122</v>
      </c>
      <c r="B16" s="13" t="s">
        <v>123</v>
      </c>
      <c r="C16" s="13" t="s">
        <v>105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124</v>
      </c>
      <c r="H16" s="13" t="s">
        <v>74</v>
      </c>
      <c r="I16" s="13"/>
      <c r="J16" s="13"/>
      <c r="K16" s="13" t="s">
        <v>101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125</v>
      </c>
      <c r="B17" s="13" t="s">
        <v>126</v>
      </c>
      <c r="C17" s="13" t="s">
        <v>105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115</v>
      </c>
      <c r="H17" s="13" t="s">
        <v>74</v>
      </c>
      <c r="I17" s="13"/>
      <c r="J17" s="13"/>
      <c r="K17" s="13" t="s">
        <v>101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127</v>
      </c>
      <c r="B18" s="13" t="s">
        <v>128</v>
      </c>
      <c r="C18" s="13" t="s">
        <v>105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117</v>
      </c>
      <c r="H18" s="13" t="s">
        <v>74</v>
      </c>
      <c r="I18" s="13" t="s">
        <v>81</v>
      </c>
      <c r="J18" s="13" t="n">
        <v>3</v>
      </c>
      <c r="K18" s="13" t="s">
        <v>101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129</v>
      </c>
      <c r="F55" s="9" t="n">
        <f aca="false">SUM(F5:F54)</f>
        <v>2652</v>
      </c>
      <c r="M55" s="9" t="n">
        <f aca="false">SUM(M5:M54)</f>
        <v>1420.15891472868</v>
      </c>
      <c r="N55" s="9" t="n">
        <f aca="false">SUM(N5:N54)</f>
        <v>1231.84108527132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4" customFormat="false" ht="42" hidden="false" customHeight="true" outlineLevel="0" collapsed="false">
      <c r="A4" s="4" t="s">
        <v>85</v>
      </c>
      <c r="B4" s="4" t="s">
        <v>18</v>
      </c>
      <c r="C4" s="4" t="s">
        <v>3</v>
      </c>
      <c r="D4" s="4" t="s">
        <v>88</v>
      </c>
      <c r="E4" s="4" t="s">
        <v>32</v>
      </c>
      <c r="F4" s="4" t="s">
        <v>89</v>
      </c>
      <c r="G4" s="4" t="s">
        <v>132</v>
      </c>
      <c r="H4" s="4" t="s">
        <v>93</v>
      </c>
    </row>
    <row r="5" customFormat="false" ht="15" hidden="false" customHeight="false" outlineLevel="0" collapsed="false">
      <c r="A5" s="13" t="s">
        <v>133</v>
      </c>
      <c r="B5" s="13" t="s">
        <v>134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135</v>
      </c>
      <c r="B6" s="13" t="s">
        <v>134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136</v>
      </c>
      <c r="B7" s="13" t="s">
        <v>137</v>
      </c>
      <c r="C7" s="13" t="s">
        <v>138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139</v>
      </c>
      <c r="B8" s="13" t="s">
        <v>137</v>
      </c>
      <c r="C8" s="13" t="s">
        <v>138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129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42" hidden="false" customHeight="true" outlineLevel="0" collapsed="false">
      <c r="A4" s="4" t="s">
        <v>85</v>
      </c>
      <c r="B4" s="4" t="s">
        <v>3</v>
      </c>
      <c r="C4" s="4" t="s">
        <v>86</v>
      </c>
      <c r="D4" s="4" t="s">
        <v>32</v>
      </c>
      <c r="E4" s="4" t="s">
        <v>88</v>
      </c>
      <c r="F4" s="4" t="s">
        <v>89</v>
      </c>
    </row>
    <row r="5" customFormat="false" ht="15" hidden="false" customHeight="false" outlineLevel="0" collapsed="false">
      <c r="A5" s="13" t="s">
        <v>142</v>
      </c>
      <c r="B5" s="13" t="s">
        <v>35</v>
      </c>
      <c r="C5" s="13" t="s">
        <v>126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143</v>
      </c>
      <c r="B6" s="13" t="s">
        <v>35</v>
      </c>
      <c r="C6" s="13" t="s">
        <v>144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145</v>
      </c>
      <c r="B7" s="13" t="s">
        <v>35</v>
      </c>
      <c r="C7" s="13" t="s">
        <v>107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2" t="s">
        <v>129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23" t="s">
        <v>148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149</v>
      </c>
      <c r="B5" s="24" t="n">
        <v>46266</v>
      </c>
    </row>
    <row r="6" customFormat="false" ht="15" hidden="false" customHeight="false" outlineLevel="0" collapsed="false">
      <c r="A6" s="23" t="s">
        <v>150</v>
      </c>
      <c r="B6" s="18" t="n">
        <v>0</v>
      </c>
    </row>
    <row r="7" customFormat="false" ht="15" hidden="false" customHeight="false" outlineLevel="0" collapsed="false">
      <c r="A7" s="23" t="s">
        <v>151</v>
      </c>
      <c r="B7" s="25" t="n">
        <f aca="true">MAX(0,(YEAR(TODAY())-YEAR(B5))*12+MONTH(TODAY())-MONTH(B5)+1)</f>
        <v>2</v>
      </c>
    </row>
    <row r="8" customFormat="false" ht="15" hidden="false" customHeight="false" outlineLevel="0" collapsed="false">
      <c r="A8" s="23" t="s">
        <v>152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153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154</v>
      </c>
      <c r="B10" s="9" t="n">
        <f aca="false">B8-B9</f>
        <v>-47</v>
      </c>
    </row>
    <row r="11" customFormat="false" ht="15" hidden="false" customHeight="false" outlineLevel="0" collapsed="false">
      <c r="A11" s="2" t="s">
        <v>155</v>
      </c>
    </row>
    <row r="12" customFormat="false" ht="42" hidden="false" customHeight="true" outlineLevel="0" collapsed="false">
      <c r="A12" s="4" t="s">
        <v>156</v>
      </c>
      <c r="B12" s="4" t="s">
        <v>85</v>
      </c>
      <c r="C12" s="4" t="s">
        <v>157</v>
      </c>
      <c r="D12" s="4" t="s">
        <v>158</v>
      </c>
    </row>
    <row r="13" customFormat="false" ht="15" hidden="false" customHeight="false" outlineLevel="0" collapsed="false">
      <c r="A13" s="24" t="n">
        <v>46285</v>
      </c>
      <c r="B13" s="13" t="s">
        <v>159</v>
      </c>
      <c r="C13" s="18" t="n">
        <v>220</v>
      </c>
      <c r="D13" s="13" t="s">
        <v>81</v>
      </c>
    </row>
    <row r="14" customFormat="false" ht="15" hidden="false" customHeight="false" outlineLevel="0" collapsed="false">
      <c r="A14" s="24" t="n">
        <v>46300</v>
      </c>
      <c r="B14" s="13" t="s">
        <v>160</v>
      </c>
      <c r="C14" s="18" t="n">
        <v>85</v>
      </c>
      <c r="D14" s="13" t="s">
        <v>81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2026-10-27T16:08:36Z</dcterms:created>
  <dc:creator>openpyxl</dc:creator>
  <dc:description/>
  <dc:language>en-US</dc:language>
  <cp:lastModifiedBy/>
  <dcterms:modified xsi:type="dcterms:W3CDTF">2026-10-27T16:08:36Z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