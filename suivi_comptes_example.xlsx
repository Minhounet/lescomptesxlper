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aramètres" sheetId="2" state="visible" r:id="rId4"/>
    <sheet name="Comptes" sheetId="3" state="visible" r:id="rId5"/>
    <sheet name="Charges" sheetId="4" state="visible" r:id="rId6"/>
    <sheet name="Revenus" sheetId="5" state="visible" r:id="rId7"/>
    <sheet name="Charges perso" sheetId="6" state="visible" r:id="rId8"/>
    <sheet name="Imprévu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<sst xmlns="http://schemas.openxmlformats.org/spreadsheetml/2006/main" count="320" uniqueCount="167">
  <si>
    <t xml:space="preserve">Synthèse mensuelle</t>
  </si>
  <si>
    <t xml:space="preserve">Tout est calculé à partir des onglets Charges, Revenus et Comptes. Ne rien saisir ici.</t>
  </si>
  <si>
    <t xml:space="preserve">1. Par personne</t>
  </si>
  <si>
    <t xml:space="preserve">Personne</t>
  </si>
  <si>
    <t xml:space="preserve">Salaires mensuels</t>
  </si>
  <si>
    <t xml:space="preserve">Participations aux comptes joints</t>
  </si>
  <si>
    <t xml:space="preserve">Charges payées directement (compte perso)</t>
  </si>
  <si>
    <t xml:space="preserve">Total charges supportées</t>
  </si>
  <si>
    <t xml:space="preserve">Taux d'effort</t>
  </si>
  <si>
    <t xml:space="preserve">Reste après charges communes</t>
  </si>
  <si>
    <t xml:space="preserve">Charges perso (détail ou forfait)</t>
  </si>
  <si>
    <t xml:space="preserve">Reste après charges perso</t>
  </si>
  <si>
    <t xml:space="preserve">Épargne perso</t>
  </si>
  <si>
    <t xml:space="preserve">Reste libre (loisirs…)</t>
  </si>
  <si>
    <t xml:space="preserve">Total foyer</t>
  </si>
  <si>
    <t xml:space="preserve">2. Par compte : ce que chacun doit virer chaque mois</t>
  </si>
  <si>
    <t xml:space="preserve">Un compte joint est alimenté par les virements des deux personnes (colonnes E et F) = charges du compte − aides reçues dessus, réparties selon la répartition de chaque charge.</t>
  </si>
  <si>
    <t xml:space="preserve">Compte</t>
  </si>
  <si>
    <t xml:space="preserve">Type</t>
  </si>
  <si>
    <t xml:space="preserve">Charges débitées / virements émis</t>
  </si>
  <si>
    <t xml:space="preserve">Aides &amp; autres recettes reçues</t>
  </si>
  <si>
    <t xml:space="preserve">Salaires reçus</t>
  </si>
  <si>
    <t xml:space="preserve">Virements reçus (d'autres comptes)</t>
  </si>
  <si>
    <t xml:space="preserve">Participations versées (vers comptes joints)</t>
  </si>
  <si>
    <t xml:space="preserve">Solde mensuel prévisionnel</t>
  </si>
  <si>
    <t xml:space="preserve">Total</t>
  </si>
  <si>
    <t xml:space="preserve">Lecture : un compte joint à solde 0 est équilibré. Un compte perso à solde positif = reste à vivre ; négatif = salaire insuffisant. Les aides sont réparties sur les deux personnes au prorata de leurs parts de charges (hypothèse).</t>
  </si>
  <si>
    <t xml:space="preserve">3. Charges communes : fixe vs variable (mensuel)</t>
  </si>
  <si>
    <t xml:space="preserve">Fixe</t>
  </si>
  <si>
    <t xml:space="preserve">Variable / estimé</t>
  </si>
  <si>
    <t xml:space="preserve">Paramètres du foyer</t>
  </si>
  <si>
    <t xml:space="preserve">Cellules jaunes à police bleue = à modifier. Tout le reste se calcule.</t>
  </si>
  <si>
    <t xml:space="preserve">Périodicité</t>
  </si>
  <si>
    <t xml:space="preserve">Nb de mois</t>
  </si>
  <si>
    <t xml:space="preserve">Personne 1</t>
  </si>
  <si>
    <t xml:space="preserve">Alex</t>
  </si>
  <si>
    <t xml:space="preserve">Mensuelle</t>
  </si>
  <si>
    <t xml:space="preserve">Personne 2</t>
  </si>
  <si>
    <t xml:space="preserve">Sam</t>
  </si>
  <si>
    <t xml:space="preserve">Trimestrielle</t>
  </si>
  <si>
    <t xml:space="preserve">Compte perso de la Personne 1</t>
  </si>
  <si>
    <t xml:space="preserve">Compte Alex</t>
  </si>
  <si>
    <t xml:space="preserve">Semestrielle</t>
  </si>
  <si>
    <t xml:space="preserve">Compte perso de la Personne 2</t>
  </si>
  <si>
    <t xml:space="preserve">Compte Sam</t>
  </si>
  <si>
    <t xml:space="preserve">Annuelle</t>
  </si>
  <si>
    <t xml:space="preserve">Part de la Personne 1 dans les salaires (pour « Prorata salaires »)</t>
  </si>
  <si>
    <t xml:space="preserve">Hypothèse : 50 % si aucun salaire n'est saisi.</t>
  </si>
  <si>
    <t xml:space="preserve">Modes de répartition possibles : 50/50 · Prorata salaires · Personne 1 seul · Personne 2 seul</t>
  </si>
  <si>
    <t xml:space="preserve">Budget personnel (le « reste libre »)</t>
  </si>
  <si>
    <t xml:space="preserve">Charges perso : mode (Détail = onglet « Charges perso » ; Forfait = somme arbitraire)</t>
  </si>
  <si>
    <t xml:space="preserve">Détail</t>
  </si>
  <si>
    <t xml:space="preserve">Forfait</t>
  </si>
  <si>
    <t xml:space="preserve">Forfait charges perso (€/mois), utilisé si mode Forfait</t>
  </si>
  <si>
    <t xml:space="preserve">Épargne perso : mode (Pourcentage ou Montant)</t>
  </si>
  <si>
    <t xml:space="preserve">Pourcentage</t>
  </si>
  <si>
    <t xml:space="preserve">Montant</t>
  </si>
  <si>
    <t xml:space="preserve">Épargne perso : pourcentage du reste (si Pourcentage)</t>
  </si>
  <si>
    <t xml:space="preserve">Épargne perso : montant €/mois (si Montant)</t>
  </si>
  <si>
    <t xml:space="preserve">Si l'un de vous ne veut pas détailler ses comptes : mode Forfait + une somme. Ses lignes éventuelles dans « Charges perso » sont alors ignorées.</t>
  </si>
  <si>
    <t xml:space="preserve">Provision imprévus (% des salaires du foyer)</t>
  </si>
  <si>
    <t xml:space="preserve">Alimente la ligne « Provision imprévus » de l'onglet Charges (réparties 50/50, sur le compte joint indiqué).</t>
  </si>
  <si>
    <t xml:space="preserve">Comptes bancaires</t>
  </si>
  <si>
    <t xml:space="preserve">Paramétrez ici vos comptes (10 lignes). Le nom saisi ici alimente les listes déroulantes des autres onglets.</t>
  </si>
  <si>
    <t xml:space="preserve">Nom du compte</t>
  </si>
  <si>
    <t xml:space="preserve">Titulaire(s)</t>
  </si>
  <si>
    <t xml:space="preserve">Usage</t>
  </si>
  <si>
    <t xml:space="preserve">Personnel</t>
  </si>
  <si>
    <t xml:space="preserve">Salaire d'Alex, dépenses perso</t>
  </si>
  <si>
    <t xml:space="preserve">Salaire de Sam, dépenses perso</t>
  </si>
  <si>
    <t xml:space="preserve">Joint Logement</t>
  </si>
  <si>
    <t xml:space="preserve">Joint</t>
  </si>
  <si>
    <t xml:space="preserve">Alex &amp; Sam</t>
  </si>
  <si>
    <t xml:space="preserve">Emprunt, assurances, énergie, taxe foncière</t>
  </si>
  <si>
    <t xml:space="preserve">Joint Vie courante</t>
  </si>
  <si>
    <t xml:space="preserve">Courses, voiture, enfants, aides CAF</t>
  </si>
  <si>
    <t xml:space="preserve">Joint Abonnements</t>
  </si>
  <si>
    <t xml:space="preserve">Internet, streaming, etc.</t>
  </si>
  <si>
    <t xml:space="preserve">Livret A</t>
  </si>
  <si>
    <t xml:space="preserve">Épargne</t>
  </si>
  <si>
    <t xml:space="preserve">Épargne (reçoit des virements)</t>
  </si>
  <si>
    <t xml:space="preserve">Livret imprévus</t>
  </si>
  <si>
    <t xml:space="preserve">Provision pour les dépenses imprévues</t>
  </si>
  <si>
    <t xml:space="preserve">Charges (dépenses récurrentes)</t>
  </si>
  <si>
    <t xml:space="preserve">Remplir les colonnes jaunes (50 lignes). Montant = montant par période ; le mensuel et les parts se calculent. Virement : indiquer le compte destinataire (liste libre). Dépenses irrégulières : saisir une enveloppe annuelle, elle est lissée par mois.</t>
  </si>
  <si>
    <t xml:space="preserve">Libellé</t>
  </si>
  <si>
    <t xml:space="preserve">Catégorie</t>
  </si>
  <si>
    <t xml:space="preserve">Nature</t>
  </si>
  <si>
    <t xml:space="preserve">Montant (€ par période)</t>
  </si>
  <si>
    <t xml:space="preserve">Montant mensuel</t>
  </si>
  <si>
    <t xml:space="preserve">Mode de paiement</t>
  </si>
  <si>
    <t xml:space="preserve">Compte débité</t>
  </si>
  <si>
    <t xml:space="preserve">Compte destinataire (si virement)</t>
  </si>
  <si>
    <t xml:space="preserve">Jour du mois</t>
  </si>
  <si>
    <t xml:space="preserve">Répartition</t>
  </si>
  <si>
    <t xml:space="preserve">Part P1 (%)</t>
  </si>
  <si>
    <t xml:space="preserve">Emprunt immobilier</t>
  </si>
  <si>
    <t xml:space="preserve">Logement</t>
  </si>
  <si>
    <t xml:space="preserve">Prélèvement</t>
  </si>
  <si>
    <t xml:space="preserve">Prorata salaires</t>
  </si>
  <si>
    <t xml:space="preserve">Assurance emprunt</t>
  </si>
  <si>
    <t xml:space="preserve">50/50</t>
  </si>
  <si>
    <t xml:space="preserve">Taxe foncière</t>
  </si>
  <si>
    <t xml:space="preserve">Électricité maison</t>
  </si>
  <si>
    <t xml:space="preserve">Énergie</t>
  </si>
  <si>
    <t xml:space="preserve">Variable</t>
  </si>
  <si>
    <t xml:space="preserve">Électricité garage / local</t>
  </si>
  <si>
    <t xml:space="preserve">Internet / box</t>
  </si>
  <si>
    <t xml:space="preserve">Abonnements</t>
  </si>
  <si>
    <t xml:space="preserve">Assurance auto (voiture d'Alex)</t>
  </si>
  <si>
    <t xml:space="preserve">Transport</t>
  </si>
  <si>
    <t xml:space="preserve">Personne 1 seul</t>
  </si>
  <si>
    <t xml:space="preserve">Forfait mobile de Sam</t>
  </si>
  <si>
    <t xml:space="preserve">Personne 2 seul</t>
  </si>
  <si>
    <t xml:space="preserve">Courses alimentaires</t>
  </si>
  <si>
    <t xml:space="preserve">Vie courante</t>
  </si>
  <si>
    <t xml:space="preserve">Carte</t>
  </si>
  <si>
    <t xml:space="preserve">Épargne mensuelle</t>
  </si>
  <si>
    <t xml:space="preserve">Virement</t>
  </si>
  <si>
    <t xml:space="preserve">Cantine des enfants</t>
  </si>
  <si>
    <t xml:space="preserve">Enfants</t>
  </si>
  <si>
    <t xml:space="preserve">Mairie (cantine)</t>
  </si>
  <si>
    <t xml:space="preserve">Vêtements enfants (enveloppe lissée)</t>
  </si>
  <si>
    <t xml:space="preserve">Médecin / pharmacie (provision)</t>
  </si>
  <si>
    <t xml:space="preserve">Santé</t>
  </si>
  <si>
    <t xml:space="preserve">Chèque</t>
  </si>
  <si>
    <t xml:space="preserve">Cadeaux &amp; fêtes (enveloppe lissée)</t>
  </si>
  <si>
    <t xml:space="preserve">Loisirs</t>
  </si>
  <si>
    <t xml:space="preserve">Provision imprévus (% des salaires)</t>
  </si>
  <si>
    <t xml:space="preserve">Imprévus</t>
  </si>
  <si>
    <t xml:space="preserve">Aide à domicile (retrait espèces)</t>
  </si>
  <si>
    <t xml:space="preserve">Services</t>
  </si>
  <si>
    <t xml:space="preserve">Espèces</t>
  </si>
  <si>
    <t xml:space="preserve">Argent de poche enfants (retrait espèces)</t>
  </si>
  <si>
    <t xml:space="preserve">Marché &amp; petits commerces (retrait espèces)</t>
  </si>
  <si>
    <t xml:space="preserve">TOTAL mensuel</t>
  </si>
  <si>
    <t xml:space="preserve">Revenus et aides</t>
  </si>
  <si>
    <t xml:space="preserve">Salaires (arrivent sur le compte de chacun) et aides type CAF (peuvent arriver sur un compte joint). 20 lignes.</t>
  </si>
  <si>
    <t xml:space="preserve">Compte de réception</t>
  </si>
  <si>
    <t xml:space="preserve">Salaire Alex</t>
  </si>
  <si>
    <t xml:space="preserve">Salaire</t>
  </si>
  <si>
    <t xml:space="preserve">Salaire Sam</t>
  </si>
  <si>
    <t xml:space="preserve">Allocations familiales (CAF)</t>
  </si>
  <si>
    <t xml:space="preserve">Aide</t>
  </si>
  <si>
    <t xml:space="preserve">Commun</t>
  </si>
  <si>
    <t xml:space="preserve">Prime d'activité (CAF)</t>
  </si>
  <si>
    <t xml:space="preserve">Charges personnelles (facultatif)</t>
  </si>
  <si>
    <t xml:space="preserve">Dépenses propres à chacun. Utilisé seulement si le mode « Détail » est choisi pour la personne dans Paramètres.</t>
  </si>
  <si>
    <t xml:space="preserve">Salle de sport</t>
  </si>
  <si>
    <t xml:space="preserve">Coiffeur</t>
  </si>
  <si>
    <t xml:space="preserve">Soins</t>
  </si>
  <si>
    <t xml:space="preserve">Abonnement musique</t>
  </si>
  <si>
    <t xml:space="preserve">Suivi des imprévus</t>
  </si>
  <si>
    <t xml:space="preserve">Notez chaque dépense imprévue ici (date, libellé, montant). Le solde de la provision se met à jour tout seul.</t>
  </si>
  <si>
    <t xml:space="preserve">Provision mensuelle (ligne « Imprévus » de Charges)</t>
  </si>
  <si>
    <t xml:space="preserve">Début du suivi (1er du mois)</t>
  </si>
  <si>
    <t xml:space="preserve">Solde de départ du livret imprévus</t>
  </si>
  <si>
    <t xml:space="preserve">Mois provisionnés (mois en cours inclus)</t>
  </si>
  <si>
    <t xml:space="preserve">Total provisionné</t>
  </si>
  <si>
    <t xml:space="preserve">Total dépensé en imprévus</t>
  </si>
  <si>
    <t xml:space="preserve">Solde de la provision</t>
  </si>
  <si>
    <t xml:space="preserve">Solde négatif = la provision n'a pas suffi : à combler avec l'épargne ou le reste libre.</t>
  </si>
  <si>
    <t xml:space="preserve">Date</t>
  </si>
  <si>
    <t xml:space="preserve">Montant (€)</t>
  </si>
  <si>
    <t xml:space="preserve">Payé depuis</t>
  </si>
  <si>
    <t xml:space="preserve">Pare-brise</t>
  </si>
  <si>
    <t xml:space="preserve">Dentiste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</si>
</sst>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;\-#,##0.00&quot; €&quot;;\-"/>
    <numFmt numFmtId="166" formatCode="0%"/>
    <numFmt numFmtId="167" formatCode="0.0%"/>
    <numFmt numFmtId="168" formatCode="dd/mm/yyyy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1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str">
        <f aca="false">Paramètres!$B$4</f>
        <v>Alex</v>
      </c>
      <c r="B5" s="6" t="n">
        <f aca="false">SUMIFS(Revenus!$F$5:$F$24,Revenus!$B$5:$B$24,"Salaire",Revenus!$C$5:$C$24,A5)</f>
        <v>2400</v>
      </c>
      <c r="C5" s="6" t="n">
        <f aca="false">SUM(E$13:E$22)</f>
        <v>1424.28586025397</v>
      </c>
      <c r="D5" s="6" t="n">
        <f aca="false">IF(Paramètres!$B$6="",0,IFERROR(INDEX($C$13:$C$22,MATCH(Paramètres!$B$6,$A$13:$A$22,0)),0))</f>
        <v>0</v>
      </c>
      <c r="E5" s="6" t="n">
        <f aca="false">C5+D5</f>
        <v>1424.28586025397</v>
      </c>
      <c r="F5" s="7" t="n">
        <f aca="false">IF(B5=0,0,E5/B5)</f>
        <v>0.593452441772489</v>
      </c>
      <c r="G5" s="6" t="n">
        <f aca="false">IF(Paramètres!$B$6="",0,IFERROR(INDEX($J$13:$J$22,MATCH(Paramètres!$B$6,$A$13:$A$22,0)),0))</f>
        <v>975.714139746026</v>
      </c>
      <c r="H5" s="6" t="n">
        <f aca="false">IF(Paramètres!B$15="Forfait",Paramètres!B$16,SUMIFS('Charges perso'!$F$5:$F$44,'Charges perso'!$B$5:$B$44,A5))</f>
        <v>86</v>
      </c>
      <c r="I5" s="6" t="n">
        <f aca="false">G5-H5</f>
        <v>889.714139746026</v>
      </c>
      <c r="J5" s="6" t="n">
        <f aca="false">MAX(0,IF(Paramètres!B$17="Pourcentage",Paramètres!B$18*MAX(0,I5),Paramètres!B$19))</f>
        <v>266.914241923808</v>
      </c>
      <c r="K5" s="6" t="n">
        <f aca="false">I5-J5</f>
        <v>622.799897822218</v>
      </c>
    </row>
    <row r="6" customFormat="false" ht="15" hidden="false" customHeight="false" outlineLevel="0" collapsed="false">
      <c r="A6" s="5" t="str">
        <f aca="false">Paramètres!$B$5</f>
        <v>Sam</v>
      </c>
      <c r="B6" s="6" t="n">
        <f aca="false">SUMIFS(Revenus!$F$5:$F$24,Revenus!$B$5:$B$24,"Salaire",Revenus!$C$5:$C$24,A6)</f>
        <v>1900</v>
      </c>
      <c r="C6" s="6" t="n">
        <f aca="false">SUM(F$13:F$22)</f>
        <v>1219.71413974603</v>
      </c>
      <c r="D6" s="6" t="n">
        <f aca="false">IF(Paramètres!$B$7="",0,IFERROR(INDEX($C$13:$C$22,MATCH(Paramètres!$B$7,$A$13:$A$22,0)),0))</f>
        <v>28</v>
      </c>
      <c r="E6" s="6" t="n">
        <f aca="false">C6+D6</f>
        <v>1247.71413974603</v>
      </c>
      <c r="F6" s="7" t="n">
        <f aca="false">IF(B6=0,0,E6/B6)</f>
        <v>0.656691652497908</v>
      </c>
      <c r="G6" s="6" t="n">
        <f aca="false">IF(Paramètres!$B$7="",0,IFERROR(INDEX($J$13:$J$22,MATCH(Paramètres!$B$7,$A$13:$A$22,0)),0))</f>
        <v>652.285860253974</v>
      </c>
      <c r="H6" s="6" t="n">
        <f aca="false">IF(Paramètres!C$15="Forfait",Paramètres!C$16,SUMIFS('Charges perso'!$F$5:$F$44,'Charges perso'!$B$5:$B$44,A6))</f>
        <v>350</v>
      </c>
      <c r="I6" s="6" t="n">
        <f aca="false">G6-H6</f>
        <v>302.285860253974</v>
      </c>
      <c r="J6" s="6" t="n">
        <f aca="false">MAX(0,IF(Paramètres!C$17="Pourcentage",Paramètres!C$18*MAX(0,I6),Paramètres!C$19))</f>
        <v>200</v>
      </c>
      <c r="K6" s="6" t="n">
        <f aca="false">I6-J6</f>
        <v>102.285860253974</v>
      </c>
    </row>
    <row r="7" customFormat="false" ht="15" hidden="false" customHeight="false" outlineLevel="0" collapsed="false">
      <c r="A7" s="8" t="s">
        <v>14</v>
      </c>
      <c r="B7" s="9" t="n">
        <f aca="false">SUM(B5:B6)</f>
        <v>4300</v>
      </c>
      <c r="C7" s="9" t="n">
        <f aca="false">SUM(C5:C6)</f>
        <v>2644</v>
      </c>
      <c r="D7" s="9" t="n">
        <f aca="false">SUM(D5:D6)</f>
        <v>28</v>
      </c>
      <c r="E7" s="9" t="n">
        <f aca="false">SUM(E5:E6)</f>
        <v>2672</v>
      </c>
      <c r="F7" s="10" t="n">
        <f aca="false">IF(B7=0,0,E7/B7)</f>
        <v>0.621395348837209</v>
      </c>
      <c r="G7" s="9" t="n">
        <f aca="false">SUM(G5:G6)</f>
        <v>1628</v>
      </c>
      <c r="H7" s="9" t="n">
        <f aca="false">SUM(H5:H6)</f>
        <v>436</v>
      </c>
      <c r="I7" s="9" t="n">
        <f aca="false">SUM(I5:I6)</f>
        <v>1192</v>
      </c>
      <c r="J7" s="9" t="n">
        <f aca="false">SUM(J5:J6)</f>
        <v>466.914241923808</v>
      </c>
      <c r="K7" s="9" t="n">
        <f aca="false">SUM(K5:K6)</f>
        <v>725.085758076192</v>
      </c>
    </row>
    <row r="9" customFormat="false" ht="15" hidden="false" customHeight="false" outlineLevel="0" collapsed="false">
      <c r="A9" s="3" t="s">
        <v>15</v>
      </c>
    </row>
    <row r="10" customFormat="false" ht="15" hidden="false" customHeight="false" outlineLevel="0" collapsed="false">
      <c r="A10" s="2" t="s">
        <v>16</v>
      </c>
    </row>
    <row r="12" customFormat="false" ht="54.75" hidden="false" customHeight="true" outlineLevel="0" collapsed="false">
      <c r="A12" s="4" t="s">
        <v>17</v>
      </c>
      <c r="B12" s="4" t="s">
        <v>18</v>
      </c>
      <c r="C12" s="4" t="s">
        <v>19</v>
      </c>
      <c r="D12" s="4" t="s">
        <v>20</v>
      </c>
      <c r="E12" s="4" t="str">
        <f aca="false">"À virer par "&amp;Paramètres!$B$4</f>
        <v>À virer par Alex</v>
      </c>
      <c r="F12" s="4" t="str">
        <f aca="false">"À virer par "&amp;Paramètres!$B$5</f>
        <v>À virer par Sam</v>
      </c>
      <c r="G12" s="4" t="s">
        <v>21</v>
      </c>
      <c r="H12" s="4" t="s">
        <v>22</v>
      </c>
      <c r="I12" s="4" t="s">
        <v>23</v>
      </c>
      <c r="J12" s="4" t="s">
        <v>24</v>
      </c>
    </row>
    <row r="13" customFormat="false" ht="15" hidden="false" customHeight="false" outlineLevel="0" collapsed="false">
      <c r="A13" s="5" t="str">
        <f aca="false">IF(Comptes!A5="","",Comptes!A5)</f>
        <v>Compte Alex</v>
      </c>
      <c r="B13" s="5" t="str">
        <f aca="false">IF($A13="","",Comptes!B5)</f>
        <v>Personnel</v>
      </c>
      <c r="C13" s="6" t="n">
        <f aca="false">IF($A13="","",SUMIFS(Charges!$F$5:$F$54,Charges!$H$5:$H$54,$A13))</f>
        <v>0</v>
      </c>
      <c r="D13" s="6" t="n">
        <f aca="false">IF($A13="","",SUMIFS(Revenus!$F$5:$F$24,Revenus!$G$5:$G$24,$A13,Revenus!$B$5:$B$24,"&lt;&gt;Salaire"))</f>
        <v>0</v>
      </c>
      <c r="E13" s="11" t="n">
        <f aca="false">IF($A13="","",IF($B13="Joint",IF($C13=0,0,($C13-$D13)*SUMIFS(Charges!$M$5:$M$54,Charges!$H$5:$H$54,$A13)/$C13),0))</f>
        <v>0</v>
      </c>
      <c r="F13" s="11" t="n">
        <f aca="false">IF($A13="","",IF($B13="Joint",IF($C13=0,0,($C13-$D13)*SUMIFS(Charges!$N$5:$N$54,Charges!$H$5:$H$54,$A13)/$C13),0))</f>
        <v>0</v>
      </c>
      <c r="G13" s="6" t="n">
        <f aca="false">IF($A13="","",SUMIFS(Revenus!$F$5:$F$24,Revenus!$G$5:$G$24,$A13,Revenus!$B$5:$B$24,"Salaire"))</f>
        <v>2400</v>
      </c>
      <c r="H13" s="6" t="n">
        <f aca="false">IF($A13="","",SUMIFS(Charges!$F$5:$F$54,Charges!$I$5:$I$54,$A13,Charges!$G$5:$G$54,"Virement"))</f>
        <v>0</v>
      </c>
      <c r="I13" s="6" t="n">
        <f aca="false">IF($A13="","",IF($A13=Paramètres!$B$6,SUM($E$13:$E$22),IF($A13=Paramètres!$B$7,SUM($F$13:$F$22),0)))</f>
        <v>1424.28586025397</v>
      </c>
      <c r="J13" s="6" t="n">
        <f aca="false">IF($A13="","",G13+D13+H13+IF(B13="Joint",E13+F13,0)-C13-I13)</f>
        <v>975.714139746026</v>
      </c>
    </row>
    <row r="14" customFormat="false" ht="15" hidden="false" customHeight="false" outlineLevel="0" collapsed="false">
      <c r="A14" s="5" t="str">
        <f aca="false">IF(Comptes!A6="","",Comptes!A6)</f>
        <v>Compte Sam</v>
      </c>
      <c r="B14" s="5" t="str">
        <f aca="false">IF($A14="","",Comptes!B6)</f>
        <v>Personnel</v>
      </c>
      <c r="C14" s="6" t="n">
        <f aca="false">IF($A14="","",SUMIFS(Charges!$F$5:$F$54,Charges!$H$5:$H$54,$A14))</f>
        <v>28</v>
      </c>
      <c r="D14" s="6" t="n">
        <f aca="false">IF($A14="","",SUMIFS(Revenus!$F$5:$F$24,Revenus!$G$5:$G$24,$A14,Revenus!$B$5:$B$24,"&lt;&gt;Salaire"))</f>
        <v>0</v>
      </c>
      <c r="E14" s="11" t="n">
        <f aca="false">IF($A14="","",IF($B14="Joint",IF($C14=0,0,($C14-$D14)*SUMIFS(Charges!$M$5:$M$54,Charges!$H$5:$H$54,$A14)/$C14),0))</f>
        <v>0</v>
      </c>
      <c r="F14" s="11" t="n">
        <f aca="false">IF($A14="","",IF($B14="Joint",IF($C14=0,0,($C14-$D14)*SUMIFS(Charges!$N$5:$N$54,Charges!$H$5:$H$54,$A14)/$C14),0))</f>
        <v>0</v>
      </c>
      <c r="G14" s="6" t="n">
        <f aca="false">IF($A14="","",SUMIFS(Revenus!$F$5:$F$24,Revenus!$G$5:$G$24,$A14,Revenus!$B$5:$B$24,"Salaire"))</f>
        <v>1900</v>
      </c>
      <c r="H14" s="6" t="n">
        <f aca="false">IF($A14="","",SUMIFS(Charges!$F$5:$F$54,Charges!$I$5:$I$54,$A14,Charges!$G$5:$G$54,"Virement"))</f>
        <v>0</v>
      </c>
      <c r="I14" s="6" t="n">
        <f aca="false">IF($A14="","",IF($A14=Paramètres!$B$6,SUM($E$13:$E$22),IF($A14=Paramètres!$B$7,SUM($F$13:$F$22),0)))</f>
        <v>1219.71413974603</v>
      </c>
      <c r="J14" s="6" t="n">
        <f aca="false">IF($A14="","",G14+D14+H14+IF(B14="Joint",E14+F14,0)-C14-I14)</f>
        <v>652.285860253974</v>
      </c>
    </row>
    <row r="15" customFormat="false" ht="15" hidden="false" customHeight="false" outlineLevel="0" collapsed="false">
      <c r="A15" s="5" t="str">
        <f aca="false">IF(Comptes!A7="","",Comptes!A7)</f>
        <v>Joint Logement</v>
      </c>
      <c r="B15" s="5" t="str">
        <f aca="false">IF($A15="","",Comptes!B7)</f>
        <v>Joint</v>
      </c>
      <c r="C15" s="6" t="n">
        <f aca="false">IF($A15="","",SUMIFS(Charges!$F$5:$F$54,Charges!$H$5:$H$54,$A15))</f>
        <v>1433.33333333333</v>
      </c>
      <c r="D15" s="6" t="n">
        <f aca="false">IF($A15="","",SUMIFS(Revenus!$F$5:$F$24,Revenus!$G$5:$G$24,$A15,Revenus!$B$5:$B$24,"&lt;&gt;Salaire"))</f>
        <v>0</v>
      </c>
      <c r="E15" s="11" t="n">
        <f aca="false">IF($A15="","",IF($B15="Joint",IF($C15=0,0,($C15-$D15)*SUMIFS(Charges!$M$5:$M$54,Charges!$H$5:$H$54,$A15)/$C15),0))</f>
        <v>789.825581395349</v>
      </c>
      <c r="F15" s="11" t="n">
        <f aca="false">IF($A15="","",IF($B15="Joint",IF($C15=0,0,($C15-$D15)*SUMIFS(Charges!$N$5:$N$54,Charges!$H$5:$H$54,$A15)/$C15),0))</f>
        <v>643.507751937985</v>
      </c>
      <c r="G15" s="6" t="n">
        <f aca="false">IF($A15="","",SUMIFS(Revenus!$F$5:$F$24,Revenus!$G$5:$G$24,$A15,Revenus!$B$5:$B$24,"Salaire"))</f>
        <v>0</v>
      </c>
      <c r="H15" s="6" t="n">
        <f aca="false">IF($A15="","",SUMIFS(Charges!$F$5:$F$54,Charges!$I$5:$I$54,$A15,Charges!$G$5:$G$54,"Virement"))</f>
        <v>0</v>
      </c>
      <c r="I15" s="6" t="n">
        <f aca="false">IF($A15="","",IF($A15=Paramètres!$B$6,SUM($E$13:$E$22),IF($A15=Paramètres!$B$7,SUM($F$13:$F$22),0)))</f>
        <v>0</v>
      </c>
      <c r="J15" s="6" t="n">
        <f aca="false">IF($A15="","",G15+D15+H15+IF(B15="Joint",E15+F15,0)-C15-I15)</f>
        <v>0</v>
      </c>
    </row>
    <row r="16" customFormat="false" ht="15" hidden="false" customHeight="false" outlineLevel="0" collapsed="false">
      <c r="A16" s="5" t="str">
        <f aca="false">IF(Comptes!A8="","",Comptes!A8)</f>
        <v>Joint Vie courante</v>
      </c>
      <c r="B16" s="5" t="str">
        <f aca="false">IF($A16="","",Comptes!B8)</f>
        <v>Joint</v>
      </c>
      <c r="C16" s="6" t="n">
        <f aca="false">IF($A16="","",SUMIFS(Charges!$F$5:$F$54,Charges!$H$5:$H$54,$A16))</f>
        <v>1370.66666666667</v>
      </c>
      <c r="D16" s="6" t="n">
        <f aca="false">IF($A16="","",SUMIFS(Revenus!$F$5:$F$24,Revenus!$G$5:$G$24,$A16,Revenus!$B$5:$B$24,"&lt;&gt;Salaire"))</f>
        <v>230</v>
      </c>
      <c r="E16" s="11" t="n">
        <f aca="false">IF($A16="","",IF($B16="Joint",IF($C16=0,0,($C16-$D16)*SUMIFS(Charges!$M$5:$M$54,Charges!$H$5:$H$54,$A16)/$C16),0))</f>
        <v>599.460278858625</v>
      </c>
      <c r="F16" s="11" t="n">
        <f aca="false">IF($A16="","",IF($B16="Joint",IF($C16=0,0,($C16-$D16)*SUMIFS(Charges!$N$5:$N$54,Charges!$H$5:$H$54,$A16)/$C16),0))</f>
        <v>541.206387808042</v>
      </c>
      <c r="G16" s="6" t="n">
        <f aca="false">IF($A16="","",SUMIFS(Revenus!$F$5:$F$24,Revenus!$G$5:$G$24,$A16,Revenus!$B$5:$B$24,"Salaire"))</f>
        <v>0</v>
      </c>
      <c r="H16" s="6" t="n">
        <f aca="false">IF($A16="","",SUMIFS(Charges!$F$5:$F$54,Charges!$I$5:$I$54,$A16,Charges!$G$5:$G$54,"Virement"))</f>
        <v>0</v>
      </c>
      <c r="I16" s="6" t="n">
        <f aca="false">IF($A16="","",IF($A16=Paramètres!$B$6,SUM($E$13:$E$22),IF($A16=Paramètres!$B$7,SUM($F$13:$F$22),0)))</f>
        <v>0</v>
      </c>
      <c r="J16" s="6" t="n">
        <f aca="false">IF($A16="","",G16+D16+H16+IF(B16="Joint",E16+F16,0)-C16-I16)</f>
        <v>0</v>
      </c>
    </row>
    <row r="17" customFormat="false" ht="15" hidden="false" customHeight="false" outlineLevel="0" collapsed="false">
      <c r="A17" s="5" t="str">
        <f aca="false">IF(Comptes!A9="","",Comptes!A9)</f>
        <v>Joint Abonnements</v>
      </c>
      <c r="B17" s="5" t="str">
        <f aca="false">IF($A17="","",Comptes!B9)</f>
        <v>Joint</v>
      </c>
      <c r="C17" s="6" t="n">
        <f aca="false">IF($A17="","",SUMIFS(Charges!$F$5:$F$54,Charges!$H$5:$H$54,$A17))</f>
        <v>70</v>
      </c>
      <c r="D17" s="6" t="n">
        <f aca="false">IF($A17="","",SUMIFS(Revenus!$F$5:$F$24,Revenus!$G$5:$G$24,$A17,Revenus!$B$5:$B$24,"&lt;&gt;Salaire"))</f>
        <v>0</v>
      </c>
      <c r="E17" s="11" t="n">
        <f aca="false">IF($A17="","",IF($B17="Joint",IF($C17=0,0,($C17-$D17)*SUMIFS(Charges!$M$5:$M$54,Charges!$H$5:$H$54,$A17)/$C17),0))</f>
        <v>35</v>
      </c>
      <c r="F17" s="11" t="n">
        <f aca="false">IF($A17="","",IF($B17="Joint",IF($C17=0,0,($C17-$D17)*SUMIFS(Charges!$N$5:$N$54,Charges!$H$5:$H$54,$A17)/$C17),0))</f>
        <v>35</v>
      </c>
      <c r="G17" s="6" t="n">
        <f aca="false">IF($A17="","",SUMIFS(Revenus!$F$5:$F$24,Revenus!$G$5:$G$24,$A17,Revenus!$B$5:$B$24,"Salaire"))</f>
        <v>0</v>
      </c>
      <c r="H17" s="6" t="n">
        <f aca="false">IF($A17="","",SUMIFS(Charges!$F$5:$F$54,Charges!$I$5:$I$54,$A17,Charges!$G$5:$G$54,"Virement"))</f>
        <v>0</v>
      </c>
      <c r="I17" s="6" t="n">
        <f aca="false">IF($A17="","",IF($A17=Paramètres!$B$6,SUM($E$13:$E$22),IF($A17=Paramètres!$B$7,SUM($F$13:$F$22),0)))</f>
        <v>0</v>
      </c>
      <c r="J17" s="6" t="n">
        <f aca="false">IF($A17="","",G17+D17+H17+IF(B17="Joint",E17+F17,0)-C17-I17)</f>
        <v>0</v>
      </c>
    </row>
    <row r="18" customFormat="false" ht="15" hidden="false" customHeight="false" outlineLevel="0" collapsed="false">
      <c r="A18" s="5" t="str">
        <f aca="false">IF(Comptes!A10="","",Comptes!A10)</f>
        <v>Livret A</v>
      </c>
      <c r="B18" s="5" t="str">
        <f aca="false">IF($A18="","",Comptes!B10)</f>
        <v>Épargne</v>
      </c>
      <c r="C18" s="6" t="n">
        <f aca="false">IF($A18="","",SUMIFS(Charges!$F$5:$F$54,Charges!$H$5:$H$54,$A18))</f>
        <v>0</v>
      </c>
      <c r="D18" s="6" t="n">
        <f aca="false">IF($A18="","",SUMIFS(Revenus!$F$5:$F$24,Revenus!$G$5:$G$24,$A18,Revenus!$B$5:$B$24,"&lt;&gt;Salaire"))</f>
        <v>0</v>
      </c>
      <c r="E18" s="11" t="n">
        <f aca="false">IF($A18="","",IF($B18="Joint",IF($C18=0,0,($C18-$D18)*SUMIFS(Charges!$M$5:$M$54,Charges!$H$5:$H$54,$A18)/$C18),0))</f>
        <v>0</v>
      </c>
      <c r="F18" s="11" t="n">
        <f aca="false">IF($A18="","",IF($B18="Joint",IF($C18=0,0,($C18-$D18)*SUMIFS(Charges!$N$5:$N$54,Charges!$H$5:$H$54,$A18)/$C18),0))</f>
        <v>0</v>
      </c>
      <c r="G18" s="6" t="n">
        <f aca="false">IF($A18="","",SUMIFS(Revenus!$F$5:$F$24,Revenus!$G$5:$G$24,$A18,Revenus!$B$5:$B$24,"Salaire"))</f>
        <v>0</v>
      </c>
      <c r="H18" s="6" t="n">
        <f aca="false">IF($A18="","",SUMIFS(Charges!$F$5:$F$54,Charges!$I$5:$I$54,$A18,Charges!$G$5:$G$54,"Virement"))</f>
        <v>150</v>
      </c>
      <c r="I18" s="6" t="n">
        <f aca="false">IF($A18="","",IF($A18=Paramètres!$B$6,SUM($E$13:$E$22),IF($A18=Paramètres!$B$7,SUM($F$13:$F$22),0)))</f>
        <v>0</v>
      </c>
      <c r="J18" s="6" t="n">
        <f aca="false">IF($A18="","",G18+D18+H18+IF(B18="Joint",E18+F18,0)-C18-I18)</f>
        <v>150</v>
      </c>
    </row>
    <row r="19" customFormat="false" ht="15" hidden="false" customHeight="false" outlineLevel="0" collapsed="false">
      <c r="A19" s="5" t="str">
        <f aca="false">IF(Comptes!A11="","",Comptes!A11)</f>
        <v>Livret imprévus</v>
      </c>
      <c r="B19" s="5" t="str">
        <f aca="false">IF($A19="","",Comptes!B11)</f>
        <v>Épargne</v>
      </c>
      <c r="C19" s="6" t="n">
        <f aca="false">IF($A19="","",SUMIFS(Charges!$F$5:$F$54,Charges!$H$5:$H$54,$A19))</f>
        <v>0</v>
      </c>
      <c r="D19" s="6" t="n">
        <f aca="false">IF($A19="","",SUMIFS(Revenus!$F$5:$F$24,Revenus!$G$5:$G$24,$A19,Revenus!$B$5:$B$24,"&lt;&gt;Salaire"))</f>
        <v>0</v>
      </c>
      <c r="E19" s="11" t="n">
        <f aca="false">IF($A19="","",IF($B19="Joint",IF($C19=0,0,($C19-$D19)*SUMIFS(Charges!$M$5:$M$54,Charges!$H$5:$H$54,$A19)/$C19),0))</f>
        <v>0</v>
      </c>
      <c r="F19" s="11" t="n">
        <f aca="false">IF($A19="","",IF($B19="Joint",IF($C19=0,0,($C19-$D19)*SUMIFS(Charges!$N$5:$N$54,Charges!$H$5:$H$54,$A19)/$C19),0))</f>
        <v>0</v>
      </c>
      <c r="G19" s="6" t="n">
        <f aca="false">IF($A19="","",SUMIFS(Revenus!$F$5:$F$24,Revenus!$G$5:$G$24,$A19,Revenus!$B$5:$B$24,"Salaire"))</f>
        <v>0</v>
      </c>
      <c r="H19" s="6" t="n">
        <f aca="false">IF($A19="","",SUMIFS(Charges!$F$5:$F$54,Charges!$I$5:$I$54,$A19,Charges!$G$5:$G$54,"Virement"))</f>
        <v>129</v>
      </c>
      <c r="I19" s="6" t="n">
        <f aca="false">IF($A19="","",IF($A19=Paramètres!$B$6,SUM($E$13:$E$22),IF($A19=Paramètres!$B$7,SUM($F$13:$F$22),0)))</f>
        <v>0</v>
      </c>
      <c r="J19" s="6" t="n">
        <f aca="false">IF($A19="","",G19+D19+H19+IF(B19="Joint",E19+F19,0)-C19-I19)</f>
        <v>129</v>
      </c>
    </row>
    <row r="20" customFormat="false" ht="15" hidden="false" customHeight="false" outlineLevel="0" collapsed="false">
      <c r="A20" s="5" t="str">
        <f aca="false">IF(Comptes!A12="","",Comptes!A12)</f>
        <v/>
      </c>
      <c r="B20" s="5" t="str">
        <f aca="false">IF($A20="","",Comptes!B12)</f>
        <v/>
      </c>
      <c r="C20" s="6" t="str">
        <f aca="false">IF($A20="","",SUMIFS(Charges!$F$5:$F$54,Charges!$H$5:$H$54,$A20))</f>
        <v/>
      </c>
      <c r="D20" s="6" t="str">
        <f aca="false">IF($A20="","",SUMIFS(Revenus!$F$5:$F$24,Revenus!$G$5:$G$24,$A20,Revenus!$B$5:$B$24,"&lt;&gt;Salaire"))</f>
        <v/>
      </c>
      <c r="E20" s="11" t="str">
        <f aca="false">IF($A20="","",IF($B20="Joint",IF($C20=0,0,($C20-$D20)*SUMIFS(Charges!$M$5:$M$54,Charges!$H$5:$H$54,$A20)/$C20),0))</f>
        <v/>
      </c>
      <c r="F20" s="11" t="str">
        <f aca="false">IF($A20="","",IF($B20="Joint",IF($C20=0,0,($C20-$D20)*SUMIFS(Charges!$N$5:$N$54,Charges!$H$5:$H$54,$A20)/$C20),0))</f>
        <v/>
      </c>
      <c r="G20" s="6" t="str">
        <f aca="false">IF($A20="","",SUMIFS(Revenus!$F$5:$F$24,Revenus!$G$5:$G$24,$A20,Revenus!$B$5:$B$24,"Salaire"))</f>
        <v/>
      </c>
      <c r="H20" s="6" t="str">
        <f aca="false">IF($A20="","",SUMIFS(Charges!$F$5:$F$54,Charges!$I$5:$I$54,$A20,Charges!$G$5:$G$54,"Virement"))</f>
        <v/>
      </c>
      <c r="I20" s="6" t="str">
        <f aca="false">IF($A20="","",IF($A20=Paramètres!$B$6,SUM($E$13:$E$22),IF($A20=Paramètres!$B$7,SUM($F$13:$F$22),0)))</f>
        <v/>
      </c>
      <c r="J20" s="6" t="str">
        <f aca="false">IF($A20="","",G20+D20+H20+IF(B20="Joint",E20+F20,0)-C20-I20)</f>
        <v/>
      </c>
    </row>
    <row r="21" customFormat="false" ht="15" hidden="false" customHeight="false" outlineLevel="0" collapsed="false">
      <c r="A21" s="5" t="str">
        <f aca="false">IF(Comptes!A13="","",Comptes!A13)</f>
        <v/>
      </c>
      <c r="B21" s="5" t="str">
        <f aca="false">IF($A21="","",Comptes!B13)</f>
        <v/>
      </c>
      <c r="C21" s="6" t="str">
        <f aca="false">IF($A21="","",SUMIFS(Charges!$F$5:$F$54,Charges!$H$5:$H$54,$A21))</f>
        <v/>
      </c>
      <c r="D21" s="6" t="str">
        <f aca="false">IF($A21="","",SUMIFS(Revenus!$F$5:$F$24,Revenus!$G$5:$G$24,$A21,Revenus!$B$5:$B$24,"&lt;&gt;Salaire"))</f>
        <v/>
      </c>
      <c r="E21" s="11" t="str">
        <f aca="false">IF($A21="","",IF($B21="Joint",IF($C21=0,0,($C21-$D21)*SUMIFS(Charges!$M$5:$M$54,Charges!$H$5:$H$54,$A21)/$C21),0))</f>
        <v/>
      </c>
      <c r="F21" s="11" t="str">
        <f aca="false">IF($A21="","",IF($B21="Joint",IF($C21=0,0,($C21-$D21)*SUMIFS(Charges!$N$5:$N$54,Charges!$H$5:$H$54,$A21)/$C21),0))</f>
        <v/>
      </c>
      <c r="G21" s="6" t="str">
        <f aca="false">IF($A21="","",SUMIFS(Revenus!$F$5:$F$24,Revenus!$G$5:$G$24,$A21,Revenus!$B$5:$B$24,"Salaire"))</f>
        <v/>
      </c>
      <c r="H21" s="6" t="str">
        <f aca="false">IF($A21="","",SUMIFS(Charges!$F$5:$F$54,Charges!$I$5:$I$54,$A21,Charges!$G$5:$G$54,"Virement"))</f>
        <v/>
      </c>
      <c r="I21" s="6" t="str">
        <f aca="false">IF($A21="","",IF($A21=Paramètres!$B$6,SUM($E$13:$E$22),IF($A21=Paramètres!$B$7,SUM($F$13:$F$22),0)))</f>
        <v/>
      </c>
      <c r="J21" s="6" t="str">
        <f aca="false">IF($A21="","",G21+D21+H21+IF(B21="Joint",E21+F21,0)-C21-I21)</f>
        <v/>
      </c>
    </row>
    <row r="22" customFormat="false" ht="15" hidden="false" customHeight="false" outlineLevel="0" collapsed="false">
      <c r="A22" s="5" t="str">
        <f aca="false">IF(Comptes!A14="","",Comptes!A14)</f>
        <v/>
      </c>
      <c r="B22" s="5" t="str">
        <f aca="false">IF($A22="","",Comptes!B14)</f>
        <v/>
      </c>
      <c r="C22" s="6" t="str">
        <f aca="false">IF($A22="","",SUMIFS(Charges!$F$5:$F$54,Charges!$H$5:$H$54,$A22))</f>
        <v/>
      </c>
      <c r="D22" s="6" t="str">
        <f aca="false">IF($A22="","",SUMIFS(Revenus!$F$5:$F$24,Revenus!$G$5:$G$24,$A22,Revenus!$B$5:$B$24,"&lt;&gt;Salaire"))</f>
        <v/>
      </c>
      <c r="E22" s="11" t="str">
        <f aca="false">IF($A22="","",IF($B22="Joint",IF($C22=0,0,($C22-$D22)*SUMIFS(Charges!$M$5:$M$54,Charges!$H$5:$H$54,$A22)/$C22),0))</f>
        <v/>
      </c>
      <c r="F22" s="11" t="str">
        <f aca="false">IF($A22="","",IF($B22="Joint",IF($C22=0,0,($C22-$D22)*SUMIFS(Charges!$N$5:$N$54,Charges!$H$5:$H$54,$A22)/$C22),0))</f>
        <v/>
      </c>
      <c r="G22" s="6" t="str">
        <f aca="false">IF($A22="","",SUMIFS(Revenus!$F$5:$F$24,Revenus!$G$5:$G$24,$A22,Revenus!$B$5:$B$24,"Salaire"))</f>
        <v/>
      </c>
      <c r="H22" s="6" t="str">
        <f aca="false">IF($A22="","",SUMIFS(Charges!$F$5:$F$54,Charges!$I$5:$I$54,$A22,Charges!$G$5:$G$54,"Virement"))</f>
        <v/>
      </c>
      <c r="I22" s="6" t="str">
        <f aca="false">IF($A22="","",IF($A22=Paramètres!$B$6,SUM($E$13:$E$22),IF($A22=Paramètres!$B$7,SUM($F$13:$F$22),0)))</f>
        <v/>
      </c>
      <c r="J22" s="6" t="str">
        <f aca="false">IF($A22="","",G22+D22+H22+IF(B22="Joint",E22+F22,0)-C22-I22)</f>
        <v/>
      </c>
    </row>
    <row r="23" customFormat="false" ht="15" hidden="false" customHeight="false" outlineLevel="0" collapsed="false">
      <c r="A23" s="8" t="s">
        <v>25</v>
      </c>
      <c r="B23" s="8"/>
      <c r="C23" s="9" t="n">
        <f aca="false">SUM(C13:C22)</f>
        <v>2902</v>
      </c>
      <c r="D23" s="9" t="n">
        <f aca="false">SUM(D13:D22)</f>
        <v>230</v>
      </c>
      <c r="E23" s="9" t="n">
        <f aca="false">SUM(E13:E22)</f>
        <v>1424.28586025397</v>
      </c>
      <c r="F23" s="9" t="n">
        <f aca="false">SUM(F13:F22)</f>
        <v>1219.71413974603</v>
      </c>
      <c r="G23" s="9" t="n">
        <f aca="false">SUM(G13:G22)</f>
        <v>4300</v>
      </c>
      <c r="H23" s="9" t="n">
        <f aca="false">SUM(H13:H22)</f>
        <v>279</v>
      </c>
      <c r="I23" s="9" t="n">
        <f aca="false">SUM(I13:I22)</f>
        <v>2644</v>
      </c>
      <c r="J23" s="9" t="n">
        <f aca="false">SUM(J13:J22)</f>
        <v>1907</v>
      </c>
    </row>
    <row r="25" customFormat="false" ht="15" hidden="false" customHeight="false" outlineLevel="0" collapsed="false">
      <c r="A25" s="2" t="s">
        <v>26</v>
      </c>
    </row>
    <row r="27" customFormat="false" ht="15" hidden="false" customHeight="false" outlineLevel="0" collapsed="false">
      <c r="A27" s="3" t="s">
        <v>27</v>
      </c>
    </row>
    <row r="28" customFormat="false" ht="15" hidden="false" customHeight="false" outlineLevel="0" collapsed="false">
      <c r="A28" s="5" t="s">
        <v>28</v>
      </c>
      <c r="B28" s="6" t="n">
        <f aca="false">SUMIFS(Charges!$F$5:$F$54,Charges!$C$5:$C$54,"Fixe")</f>
        <v>1731.33333333333</v>
      </c>
      <c r="C28" s="7" t="n">
        <f aca="false">IF($B$30=0,0,B28/$B$30)</f>
        <v>0.596600045945325</v>
      </c>
    </row>
    <row r="29" customFormat="false" ht="15" hidden="false" customHeight="false" outlineLevel="0" collapsed="false">
      <c r="A29" s="5" t="s">
        <v>29</v>
      </c>
      <c r="B29" s="6" t="n">
        <f aca="false">SUMIFS(Charges!$F$5:$F$54,Charges!$C$5:$C$54,"Variable")</f>
        <v>1170.66666666667</v>
      </c>
      <c r="C29" s="7" t="n">
        <f aca="false">IF($B$30=0,0,B29/$B$30)</f>
        <v>0.403399954054675</v>
      </c>
    </row>
    <row r="30" customFormat="false" ht="15" hidden="false" customHeight="false" outlineLevel="0" collapsed="false">
      <c r="A30" s="8" t="s">
        <v>25</v>
      </c>
      <c r="B30" s="9" t="n">
        <f aca="false">B28+B29</f>
        <v>2902</v>
      </c>
      <c r="C30" s="10" t="n">
        <f aca="false">C28+C29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D3" s="12" t="s">
        <v>32</v>
      </c>
      <c r="E3" s="12" t="s">
        <v>33</v>
      </c>
    </row>
    <row r="4" customFormat="false" ht="15" hidden="false" customHeight="false" outlineLevel="0" collapsed="false">
      <c r="A4" s="12" t="s">
        <v>34</v>
      </c>
      <c r="B4" s="13" t="s">
        <v>35</v>
      </c>
      <c r="D4" s="5" t="s">
        <v>36</v>
      </c>
      <c r="E4" s="5" t="n">
        <v>1</v>
      </c>
    </row>
    <row r="5" customFormat="false" ht="15" hidden="false" customHeight="false" outlineLevel="0" collapsed="false">
      <c r="A5" s="12" t="s">
        <v>37</v>
      </c>
      <c r="B5" s="13" t="s">
        <v>38</v>
      </c>
      <c r="D5" s="5" t="s">
        <v>39</v>
      </c>
      <c r="E5" s="5" t="n">
        <v>3</v>
      </c>
    </row>
    <row r="6" customFormat="false" ht="15" hidden="false" customHeight="false" outlineLevel="0" collapsed="false">
      <c r="A6" s="12" t="s">
        <v>40</v>
      </c>
      <c r="B6" s="13" t="s">
        <v>41</v>
      </c>
      <c r="D6" s="5" t="s">
        <v>42</v>
      </c>
      <c r="E6" s="5" t="n">
        <v>6</v>
      </c>
    </row>
    <row r="7" customFormat="false" ht="15" hidden="false" customHeight="false" outlineLevel="0" collapsed="false">
      <c r="A7" s="12" t="s">
        <v>43</v>
      </c>
      <c r="B7" s="13" t="s">
        <v>44</v>
      </c>
      <c r="D7" s="5" t="s">
        <v>45</v>
      </c>
      <c r="E7" s="5" t="n">
        <v>12</v>
      </c>
    </row>
    <row r="9" customFormat="false" ht="30" hidden="false" customHeight="true" outlineLevel="0" collapsed="false">
      <c r="A9" s="14" t="s">
        <v>46</v>
      </c>
      <c r="B9" s="15" t="n">
        <f aca="false">IFERROR(SUMIFS(Revenus!$F$5:$F$24,Revenus!$B$5:$B$24,"Salaire",Revenus!$C$5:$C$24,$B$4)/SUMIFS(Revenus!$F$5:$F$24,Revenus!$B$5:$B$24,"Salaire"),0.5)</f>
        <v>0.558139534883721</v>
      </c>
    </row>
    <row r="10" customFormat="false" ht="15" hidden="false" customHeight="false" outlineLevel="0" collapsed="false">
      <c r="A10" s="2" t="s">
        <v>47</v>
      </c>
    </row>
    <row r="12" customFormat="false" ht="15" hidden="false" customHeight="false" outlineLevel="0" collapsed="false">
      <c r="A12" s="2" t="s">
        <v>48</v>
      </c>
    </row>
    <row r="14" customFormat="false" ht="15" hidden="false" customHeight="false" outlineLevel="0" collapsed="false">
      <c r="A14" s="3" t="s">
        <v>49</v>
      </c>
      <c r="B14" s="16" t="str">
        <f aca="false">$B$4</f>
        <v>Alex</v>
      </c>
      <c r="C14" s="16" t="str">
        <f aca="false">$B$5</f>
        <v>Sam</v>
      </c>
    </row>
    <row r="15" customFormat="false" ht="27.75" hidden="false" customHeight="true" outlineLevel="0" collapsed="false">
      <c r="A15" s="17" t="s">
        <v>50</v>
      </c>
      <c r="B15" s="13" t="s">
        <v>51</v>
      </c>
      <c r="C15" s="13" t="s">
        <v>52</v>
      </c>
    </row>
    <row r="16" customFormat="false" ht="27.75" hidden="false" customHeight="true" outlineLevel="0" collapsed="false">
      <c r="A16" s="17" t="s">
        <v>53</v>
      </c>
      <c r="B16" s="18" t="n">
        <v>0</v>
      </c>
      <c r="C16" s="18" t="n">
        <v>350</v>
      </c>
    </row>
    <row r="17" customFormat="false" ht="27.75" hidden="false" customHeight="true" outlineLevel="0" collapsed="false">
      <c r="A17" s="17" t="s">
        <v>54</v>
      </c>
      <c r="B17" s="13" t="s">
        <v>55</v>
      </c>
      <c r="C17" s="13" t="s">
        <v>56</v>
      </c>
    </row>
    <row r="18" customFormat="false" ht="27.75" hidden="false" customHeight="true" outlineLevel="0" collapsed="false">
      <c r="A18" s="17" t="s">
        <v>57</v>
      </c>
      <c r="B18" s="19" t="n">
        <v>0.3</v>
      </c>
      <c r="C18" s="19" t="n">
        <v>0</v>
      </c>
    </row>
    <row r="19" customFormat="false" ht="27.75" hidden="false" customHeight="true" outlineLevel="0" collapsed="false">
      <c r="A19" s="17" t="s">
        <v>58</v>
      </c>
      <c r="B19" s="18" t="n">
        <v>0</v>
      </c>
      <c r="C19" s="18" t="n">
        <v>200</v>
      </c>
    </row>
    <row r="20" customFormat="false" ht="15" hidden="false" customHeight="false" outlineLevel="0" collapsed="false">
      <c r="A20" s="2" t="s">
        <v>59</v>
      </c>
    </row>
    <row r="22" customFormat="false" ht="15" hidden="false" customHeight="false" outlineLevel="0" collapsed="false">
      <c r="A22" s="12" t="s">
        <v>60</v>
      </c>
      <c r="B22" s="20" t="n">
        <v>0.03</v>
      </c>
    </row>
    <row r="23" customFormat="false" ht="15" hidden="false" customHeight="false" outlineLevel="0" collapsed="false">
      <c r="A23" s="2" t="s">
        <v>61</v>
      </c>
    </row>
  </sheetData>
  <dataValidations count="2">
    <dataValidation allowBlank="false" errorStyle="stop" operator="between" showDropDown="false" showErrorMessage="false" showInputMessage="false" sqref="B15:C15" type="list">
      <formula1>"Détail,Forfait"</formula1>
      <formula2>0</formula2>
    </dataValidation>
    <dataValidation allowBlank="false" errorStyle="stop" operator="between" showDropDown="false" showErrorMessage="false" showInputMessage="false" sqref="B17:C17" type="list">
      <formula1>"Pourcentage,Montant"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42" hidden="false" customHeight="true" outlineLevel="0" collapsed="false">
      <c r="A4" s="4" t="s">
        <v>64</v>
      </c>
      <c r="B4" s="4" t="s">
        <v>18</v>
      </c>
      <c r="C4" s="4" t="s">
        <v>65</v>
      </c>
      <c r="D4" s="4" t="s">
        <v>66</v>
      </c>
    </row>
    <row r="5" customFormat="false" ht="15" hidden="false" customHeight="false" outlineLevel="0" collapsed="false">
      <c r="A5" s="13" t="s">
        <v>41</v>
      </c>
      <c r="B5" s="13" t="s">
        <v>67</v>
      </c>
      <c r="C5" s="13" t="s">
        <v>35</v>
      </c>
      <c r="D5" s="13" t="s">
        <v>68</v>
      </c>
    </row>
    <row r="6" customFormat="false" ht="15" hidden="false" customHeight="false" outlineLevel="0" collapsed="false">
      <c r="A6" s="13" t="s">
        <v>44</v>
      </c>
      <c r="B6" s="13" t="s">
        <v>67</v>
      </c>
      <c r="C6" s="13" t="s">
        <v>38</v>
      </c>
      <c r="D6" s="13" t="s">
        <v>69</v>
      </c>
    </row>
    <row r="7" customFormat="false" ht="15" hidden="false" customHeight="false" outlineLevel="0" collapsed="false">
      <c r="A7" s="13" t="s">
        <v>70</v>
      </c>
      <c r="B7" s="13" t="s">
        <v>71</v>
      </c>
      <c r="C7" s="13" t="s">
        <v>72</v>
      </c>
      <c r="D7" s="13" t="s">
        <v>73</v>
      </c>
    </row>
    <row r="8" customFormat="false" ht="15" hidden="false" customHeight="false" outlineLevel="0" collapsed="false">
      <c r="A8" s="13" t="s">
        <v>74</v>
      </c>
      <c r="B8" s="13" t="s">
        <v>71</v>
      </c>
      <c r="C8" s="13" t="s">
        <v>72</v>
      </c>
      <c r="D8" s="13" t="s">
        <v>75</v>
      </c>
    </row>
    <row r="9" customFormat="false" ht="15" hidden="false" customHeight="false" outlineLevel="0" collapsed="false">
      <c r="A9" s="13" t="s">
        <v>76</v>
      </c>
      <c r="B9" s="13" t="s">
        <v>71</v>
      </c>
      <c r="C9" s="13" t="s">
        <v>72</v>
      </c>
      <c r="D9" s="13" t="s">
        <v>77</v>
      </c>
    </row>
    <row r="10" customFormat="false" ht="15" hidden="false" customHeight="false" outlineLevel="0" collapsed="false">
      <c r="A10" s="13" t="s">
        <v>78</v>
      </c>
      <c r="B10" s="13" t="s">
        <v>79</v>
      </c>
      <c r="C10" s="13" t="s">
        <v>72</v>
      </c>
      <c r="D10" s="13" t="s">
        <v>80</v>
      </c>
    </row>
    <row r="11" customFormat="false" ht="15" hidden="false" customHeight="false" outlineLevel="0" collapsed="false">
      <c r="A11" s="13" t="s">
        <v>81</v>
      </c>
      <c r="B11" s="13" t="s">
        <v>79</v>
      </c>
      <c r="C11" s="13" t="s">
        <v>72</v>
      </c>
      <c r="D11" s="13" t="s">
        <v>82</v>
      </c>
    </row>
    <row r="12" customFormat="false" ht="15" hidden="false" customHeight="false" outlineLevel="0" collapsed="false">
      <c r="A12" s="13"/>
      <c r="B12" s="13"/>
      <c r="C12" s="13"/>
      <c r="D12" s="13"/>
    </row>
    <row r="13" customFormat="false" ht="15" hidden="false" customHeight="false" outlineLevel="0" collapsed="false">
      <c r="A13" s="13"/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</sheetData>
  <dataValidations count="1">
    <dataValidation allowBlank="true" errorStyle="stop" operator="between" showDropDown="false" showErrorMessage="false" showInputMessage="false" sqref="B5:B14" type="list">
      <formula1>"Joint,Personnel,Épargne"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42" hidden="false" customHeight="true" outlineLevel="0" collapsed="false">
      <c r="A4" s="4" t="s">
        <v>85</v>
      </c>
      <c r="B4" s="4" t="s">
        <v>86</v>
      </c>
      <c r="C4" s="4" t="s">
        <v>87</v>
      </c>
      <c r="D4" s="4" t="s">
        <v>32</v>
      </c>
      <c r="E4" s="4" t="s">
        <v>88</v>
      </c>
      <c r="F4" s="4" t="s">
        <v>89</v>
      </c>
      <c r="G4" s="4" t="s">
        <v>90</v>
      </c>
      <c r="H4" s="4" t="s">
        <v>91</v>
      </c>
      <c r="I4" s="4" t="s">
        <v>92</v>
      </c>
      <c r="J4" s="4" t="s">
        <v>93</v>
      </c>
      <c r="K4" s="4" t="s">
        <v>94</v>
      </c>
      <c r="L4" s="4" t="s">
        <v>95</v>
      </c>
      <c r="M4" s="4" t="str">
        <f aca="false">"Part "&amp;Paramètres!$B$4&amp;" (€/mois)"</f>
        <v>Part Alex (€/mois)</v>
      </c>
      <c r="N4" s="4" t="str">
        <f aca="false">"Part "&amp;Paramètres!$B$5&amp;" (€/mois)"</f>
        <v>Part Sam (€/mois)</v>
      </c>
    </row>
    <row r="5" customFormat="false" ht="15" hidden="false" customHeight="false" outlineLevel="0" collapsed="false">
      <c r="A5" s="13" t="s">
        <v>96</v>
      </c>
      <c r="B5" s="13" t="s">
        <v>97</v>
      </c>
      <c r="C5" s="13" t="s">
        <v>28</v>
      </c>
      <c r="D5" s="13" t="s">
        <v>36</v>
      </c>
      <c r="E5" s="18" t="n">
        <v>1150</v>
      </c>
      <c r="F5" s="6" t="n">
        <f aca="false">IF(A5="","",IFERROR(E5/INDEX(Paramètres!$E$4:$E$7,MATCH(D5,Paramètres!$D$4:$D$7,0)),0))</f>
        <v>1150</v>
      </c>
      <c r="G5" s="13" t="s">
        <v>98</v>
      </c>
      <c r="H5" s="13" t="s">
        <v>70</v>
      </c>
      <c r="I5" s="13"/>
      <c r="J5" s="13" t="n">
        <v>5</v>
      </c>
      <c r="K5" s="13" t="s">
        <v>99</v>
      </c>
      <c r="L5" s="7" t="n">
        <f aca="false">IF(A5="","",IF(K5="50/50",0.5,IF(K5="Prorata salaires",Paramètres!$B$9,IF(K5="Personne 1 seul",1,IF(K5="Personne 2 seul",0,0.5)))))</f>
        <v>0.558139534883721</v>
      </c>
      <c r="M5" s="6" t="n">
        <f aca="false">IF(A5="","",F5*L5)</f>
        <v>641.860465116279</v>
      </c>
      <c r="N5" s="6" t="n">
        <f aca="false">IF(A5="","",F5-M5)</f>
        <v>508.139534883721</v>
      </c>
    </row>
    <row r="6" customFormat="false" ht="15" hidden="false" customHeight="false" outlineLevel="0" collapsed="false">
      <c r="A6" s="13" t="s">
        <v>100</v>
      </c>
      <c r="B6" s="13" t="s">
        <v>97</v>
      </c>
      <c r="C6" s="13" t="s">
        <v>28</v>
      </c>
      <c r="D6" s="13" t="s">
        <v>36</v>
      </c>
      <c r="E6" s="18" t="n">
        <v>45</v>
      </c>
      <c r="F6" s="6" t="n">
        <f aca="false">IF(A6="","",IFERROR(E6/INDEX(Paramètres!$E$4:$E$7,MATCH(D6,Paramètres!$D$4:$D$7,0)),0))</f>
        <v>45</v>
      </c>
      <c r="G6" s="13" t="s">
        <v>98</v>
      </c>
      <c r="H6" s="13" t="s">
        <v>70</v>
      </c>
      <c r="I6" s="13"/>
      <c r="J6" s="13" t="n">
        <v>5</v>
      </c>
      <c r="K6" s="13" t="s">
        <v>101</v>
      </c>
      <c r="L6" s="7" t="n">
        <f aca="false">IF(A6="","",IF(K6="50/50",0.5,IF(K6="Prorata salaires",Paramètres!$B$9,IF(K6="Personne 1 seul",1,IF(K6="Personne 2 seul",0,0.5)))))</f>
        <v>0.5</v>
      </c>
      <c r="M6" s="6" t="n">
        <f aca="false">IF(A6="","",F6*L6)</f>
        <v>22.5</v>
      </c>
      <c r="N6" s="6" t="n">
        <f aca="false">IF(A6="","",F6-M6)</f>
        <v>22.5</v>
      </c>
    </row>
    <row r="7" customFormat="false" ht="15" hidden="false" customHeight="false" outlineLevel="0" collapsed="false">
      <c r="A7" s="13" t="s">
        <v>102</v>
      </c>
      <c r="B7" s="13" t="s">
        <v>97</v>
      </c>
      <c r="C7" s="13" t="s">
        <v>28</v>
      </c>
      <c r="D7" s="13" t="s">
        <v>45</v>
      </c>
      <c r="E7" s="18" t="n">
        <v>1300</v>
      </c>
      <c r="F7" s="6" t="n">
        <f aca="false">IF(A7="","",IFERROR(E7/INDEX(Paramètres!$E$4:$E$7,MATCH(D7,Paramètres!$D$4:$D$7,0)),0))</f>
        <v>108.333333333333</v>
      </c>
      <c r="G7" s="13" t="s">
        <v>98</v>
      </c>
      <c r="H7" s="13" t="s">
        <v>70</v>
      </c>
      <c r="I7" s="13"/>
      <c r="J7" s="13" t="n">
        <v>15</v>
      </c>
      <c r="K7" s="13" t="s">
        <v>99</v>
      </c>
      <c r="L7" s="7" t="n">
        <f aca="false">IF(A7="","",IF(K7="50/50",0.5,IF(K7="Prorata salaires",Paramètres!$B$9,IF(K7="Personne 1 seul",1,IF(K7="Personne 2 seul",0,0.5)))))</f>
        <v>0.558139534883721</v>
      </c>
      <c r="M7" s="6" t="n">
        <f aca="false">IF(A7="","",F7*L7)</f>
        <v>60.4651162790698</v>
      </c>
      <c r="N7" s="6" t="n">
        <f aca="false">IF(A7="","",F7-M7)</f>
        <v>47.8682170542636</v>
      </c>
    </row>
    <row r="8" customFormat="false" ht="15" hidden="false" customHeight="false" outlineLevel="0" collapsed="false">
      <c r="A8" s="13" t="s">
        <v>103</v>
      </c>
      <c r="B8" s="13" t="s">
        <v>104</v>
      </c>
      <c r="C8" s="13" t="s">
        <v>105</v>
      </c>
      <c r="D8" s="13" t="s">
        <v>36</v>
      </c>
      <c r="E8" s="18" t="n">
        <v>130</v>
      </c>
      <c r="F8" s="6" t="n">
        <f aca="false">IF(A8="","",IFERROR(E8/INDEX(Paramètres!$E$4:$E$7,MATCH(D8,Paramètres!$D$4:$D$7,0)),0))</f>
        <v>130</v>
      </c>
      <c r="G8" s="13" t="s">
        <v>98</v>
      </c>
      <c r="H8" s="13" t="s">
        <v>70</v>
      </c>
      <c r="I8" s="13"/>
      <c r="J8" s="13" t="n">
        <v>12</v>
      </c>
      <c r="K8" s="13" t="s">
        <v>101</v>
      </c>
      <c r="L8" s="7" t="n">
        <f aca="false">IF(A8="","",IF(K8="50/50",0.5,IF(K8="Prorata salaires",Paramètres!$B$9,IF(K8="Personne 1 seul",1,IF(K8="Personne 2 seul",0,0.5)))))</f>
        <v>0.5</v>
      </c>
      <c r="M8" s="6" t="n">
        <f aca="false">IF(A8="","",F8*L8)</f>
        <v>65</v>
      </c>
      <c r="N8" s="6" t="n">
        <f aca="false">IF(A8="","",F8-M8)</f>
        <v>65</v>
      </c>
    </row>
    <row r="9" customFormat="false" ht="15" hidden="false" customHeight="false" outlineLevel="0" collapsed="false">
      <c r="A9" s="13" t="s">
        <v>106</v>
      </c>
      <c r="B9" s="13" t="s">
        <v>104</v>
      </c>
      <c r="C9" s="13" t="s">
        <v>105</v>
      </c>
      <c r="D9" s="13" t="s">
        <v>36</v>
      </c>
      <c r="E9" s="18" t="n">
        <v>40</v>
      </c>
      <c r="F9" s="6" t="n">
        <f aca="false">IF(A9="","",IFERROR(E9/INDEX(Paramètres!$E$4:$E$7,MATCH(D9,Paramètres!$D$4:$D$7,0)),0))</f>
        <v>40</v>
      </c>
      <c r="G9" s="13" t="s">
        <v>98</v>
      </c>
      <c r="H9" s="13" t="s">
        <v>76</v>
      </c>
      <c r="I9" s="13"/>
      <c r="J9" s="13" t="n">
        <v>14</v>
      </c>
      <c r="K9" s="13" t="s">
        <v>101</v>
      </c>
      <c r="L9" s="7" t="n">
        <f aca="false">IF(A9="","",IF(K9="50/50",0.5,IF(K9="Prorata salaires",Paramètres!$B$9,IF(K9="Personne 1 seul",1,IF(K9="Personne 2 seul",0,0.5)))))</f>
        <v>0.5</v>
      </c>
      <c r="M9" s="6" t="n">
        <f aca="false">IF(A9="","",F9*L9)</f>
        <v>20</v>
      </c>
      <c r="N9" s="6" t="n">
        <f aca="false">IF(A9="","",F9-M9)</f>
        <v>20</v>
      </c>
    </row>
    <row r="10" customFormat="false" ht="15" hidden="false" customHeight="false" outlineLevel="0" collapsed="false">
      <c r="A10" s="13" t="s">
        <v>107</v>
      </c>
      <c r="B10" s="13" t="s">
        <v>108</v>
      </c>
      <c r="C10" s="13" t="s">
        <v>28</v>
      </c>
      <c r="D10" s="13" t="s">
        <v>36</v>
      </c>
      <c r="E10" s="18" t="n">
        <v>30</v>
      </c>
      <c r="F10" s="6" t="n">
        <f aca="false">IF(A10="","",IFERROR(E10/INDEX(Paramètres!$E$4:$E$7,MATCH(D10,Paramètres!$D$4:$D$7,0)),0))</f>
        <v>30</v>
      </c>
      <c r="G10" s="13" t="s">
        <v>98</v>
      </c>
      <c r="H10" s="13" t="s">
        <v>76</v>
      </c>
      <c r="I10" s="13"/>
      <c r="J10" s="13" t="n">
        <v>10</v>
      </c>
      <c r="K10" s="13" t="s">
        <v>101</v>
      </c>
      <c r="L10" s="7" t="n">
        <f aca="false">IF(A10="","",IF(K10="50/50",0.5,IF(K10="Prorata salaires",Paramètres!$B$9,IF(K10="Personne 1 seul",1,IF(K10="Personne 2 seul",0,0.5)))))</f>
        <v>0.5</v>
      </c>
      <c r="M10" s="6" t="n">
        <f aca="false">IF(A10="","",F10*L10)</f>
        <v>15</v>
      </c>
      <c r="N10" s="6" t="n">
        <f aca="false">IF(A10="","",F10-M10)</f>
        <v>15</v>
      </c>
    </row>
    <row r="11" customFormat="false" ht="15" hidden="false" customHeight="false" outlineLevel="0" collapsed="false">
      <c r="A11" s="13" t="s">
        <v>109</v>
      </c>
      <c r="B11" s="13" t="s">
        <v>110</v>
      </c>
      <c r="C11" s="13" t="s">
        <v>28</v>
      </c>
      <c r="D11" s="13" t="s">
        <v>39</v>
      </c>
      <c r="E11" s="18" t="n">
        <v>210</v>
      </c>
      <c r="F11" s="6" t="n">
        <f aca="false">IF(A11="","",IFERROR(E11/INDEX(Paramètres!$E$4:$E$7,MATCH(D11,Paramètres!$D$4:$D$7,0)),0))</f>
        <v>70</v>
      </c>
      <c r="G11" s="13" t="s">
        <v>98</v>
      </c>
      <c r="H11" s="13" t="s">
        <v>74</v>
      </c>
      <c r="I11" s="13"/>
      <c r="J11" s="13" t="n">
        <v>1</v>
      </c>
      <c r="K11" s="13" t="s">
        <v>111</v>
      </c>
      <c r="L11" s="7" t="n">
        <f aca="false">IF(A11="","",IF(K11="50/50",0.5,IF(K11="Prorata salaires",Paramètres!$B$9,IF(K11="Personne 1 seul",1,IF(K11="Personne 2 seul",0,0.5)))))</f>
        <v>1</v>
      </c>
      <c r="M11" s="6" t="n">
        <f aca="false">IF(A11="","",F11*L11)</f>
        <v>70</v>
      </c>
      <c r="N11" s="6" t="n">
        <f aca="false">IF(A11="","",F11-M11)</f>
        <v>0</v>
      </c>
    </row>
    <row r="12" customFormat="false" ht="15" hidden="false" customHeight="false" outlineLevel="0" collapsed="false">
      <c r="A12" s="13" t="s">
        <v>112</v>
      </c>
      <c r="B12" s="13" t="s">
        <v>108</v>
      </c>
      <c r="C12" s="13" t="s">
        <v>28</v>
      </c>
      <c r="D12" s="13" t="s">
        <v>36</v>
      </c>
      <c r="E12" s="18" t="n">
        <v>28</v>
      </c>
      <c r="F12" s="6" t="n">
        <f aca="false">IF(A12="","",IFERROR(E12/INDEX(Paramètres!$E$4:$E$7,MATCH(D12,Paramètres!$D$4:$D$7,0)),0))</f>
        <v>28</v>
      </c>
      <c r="G12" s="13" t="s">
        <v>98</v>
      </c>
      <c r="H12" s="13" t="s">
        <v>44</v>
      </c>
      <c r="I12" s="13"/>
      <c r="J12" s="13" t="n">
        <v>8</v>
      </c>
      <c r="K12" s="13" t="s">
        <v>113</v>
      </c>
      <c r="L12" s="7" t="n">
        <f aca="false">IF(A12="","",IF(K12="50/50",0.5,IF(K12="Prorata salaires",Paramètres!$B$9,IF(K12="Personne 1 seul",1,IF(K12="Personne 2 seul",0,0.5)))))</f>
        <v>0</v>
      </c>
      <c r="M12" s="6" t="n">
        <f aca="false">IF(A12="","",F12*L12)</f>
        <v>0</v>
      </c>
      <c r="N12" s="6" t="n">
        <f aca="false">IF(A12="","",F12-M12)</f>
        <v>28</v>
      </c>
    </row>
    <row r="13" customFormat="false" ht="15" hidden="false" customHeight="false" outlineLevel="0" collapsed="false">
      <c r="A13" s="13" t="s">
        <v>114</v>
      </c>
      <c r="B13" s="13" t="s">
        <v>115</v>
      </c>
      <c r="C13" s="13" t="s">
        <v>105</v>
      </c>
      <c r="D13" s="13" t="s">
        <v>36</v>
      </c>
      <c r="E13" s="18" t="n">
        <v>600</v>
      </c>
      <c r="F13" s="6" t="n">
        <f aca="false">IF(A13="","",IFERROR(E13/INDEX(Paramètres!$E$4:$E$7,MATCH(D13,Paramètres!$D$4:$D$7,0)),0))</f>
        <v>600</v>
      </c>
      <c r="G13" s="13" t="s">
        <v>116</v>
      </c>
      <c r="H13" s="13" t="s">
        <v>74</v>
      </c>
      <c r="I13" s="13"/>
      <c r="J13" s="13"/>
      <c r="K13" s="13" t="s">
        <v>101</v>
      </c>
      <c r="L13" s="7" t="n">
        <f aca="false">IF(A13="","",IF(K13="50/50",0.5,IF(K13="Prorata salaires",Paramètres!$B$9,IF(K13="Personne 1 seul",1,IF(K13="Personne 2 seul",0,0.5)))))</f>
        <v>0.5</v>
      </c>
      <c r="M13" s="6" t="n">
        <f aca="false">IF(A13="","",F13*L13)</f>
        <v>300</v>
      </c>
      <c r="N13" s="6" t="n">
        <f aca="false">IF(A13="","",F13-M13)</f>
        <v>300</v>
      </c>
    </row>
    <row r="14" customFormat="false" ht="15" hidden="false" customHeight="false" outlineLevel="0" collapsed="false">
      <c r="A14" s="13" t="s">
        <v>117</v>
      </c>
      <c r="B14" s="13" t="s">
        <v>79</v>
      </c>
      <c r="C14" s="13" t="s">
        <v>28</v>
      </c>
      <c r="D14" s="13" t="s">
        <v>36</v>
      </c>
      <c r="E14" s="18" t="n">
        <v>150</v>
      </c>
      <c r="F14" s="6" t="n">
        <f aca="false">IF(A14="","",IFERROR(E14/INDEX(Paramètres!$E$4:$E$7,MATCH(D14,Paramètres!$D$4:$D$7,0)),0))</f>
        <v>150</v>
      </c>
      <c r="G14" s="13" t="s">
        <v>118</v>
      </c>
      <c r="H14" s="13" t="s">
        <v>74</v>
      </c>
      <c r="I14" s="13" t="s">
        <v>78</v>
      </c>
      <c r="J14" s="13" t="n">
        <v>3</v>
      </c>
      <c r="K14" s="13" t="s">
        <v>101</v>
      </c>
      <c r="L14" s="7" t="n">
        <f aca="false">IF(A14="","",IF(K14="50/50",0.5,IF(K14="Prorata salaires",Paramètres!$B$9,IF(K14="Personne 1 seul",1,IF(K14="Personne 2 seul",0,0.5)))))</f>
        <v>0.5</v>
      </c>
      <c r="M14" s="6" t="n">
        <f aca="false">IF(A14="","",F14*L14)</f>
        <v>75</v>
      </c>
      <c r="N14" s="6" t="n">
        <f aca="false">IF(A14="","",F14-M14)</f>
        <v>75</v>
      </c>
    </row>
    <row r="15" customFormat="false" ht="15" hidden="false" customHeight="false" outlineLevel="0" collapsed="false">
      <c r="A15" s="13" t="s">
        <v>119</v>
      </c>
      <c r="B15" s="13" t="s">
        <v>120</v>
      </c>
      <c r="C15" s="13" t="s">
        <v>105</v>
      </c>
      <c r="D15" s="13" t="s">
        <v>36</v>
      </c>
      <c r="E15" s="18" t="n">
        <v>90</v>
      </c>
      <c r="F15" s="6" t="n">
        <f aca="false">IF(A15="","",IFERROR(E15/INDEX(Paramètres!$E$4:$E$7,MATCH(D15,Paramètres!$D$4:$D$7,0)),0))</f>
        <v>90</v>
      </c>
      <c r="G15" s="13" t="s">
        <v>118</v>
      </c>
      <c r="H15" s="13" t="s">
        <v>74</v>
      </c>
      <c r="I15" s="13" t="s">
        <v>121</v>
      </c>
      <c r="J15" s="13" t="n">
        <v>28</v>
      </c>
      <c r="K15" s="13" t="s">
        <v>101</v>
      </c>
      <c r="L15" s="7" t="n">
        <f aca="false">IF(A15="","",IF(K15="50/50",0.5,IF(K15="Prorata salaires",Paramètres!$B$9,IF(K15="Personne 1 seul",1,IF(K15="Personne 2 seul",0,0.5)))))</f>
        <v>0.5</v>
      </c>
      <c r="M15" s="6" t="n">
        <f aca="false">IF(A15="","",F15*L15)</f>
        <v>45</v>
      </c>
      <c r="N15" s="6" t="n">
        <f aca="false">IF(A15="","",F15-M15)</f>
        <v>45</v>
      </c>
    </row>
    <row r="16" customFormat="false" ht="15" hidden="false" customHeight="false" outlineLevel="0" collapsed="false">
      <c r="A16" s="13" t="s">
        <v>122</v>
      </c>
      <c r="B16" s="13" t="s">
        <v>120</v>
      </c>
      <c r="C16" s="13" t="s">
        <v>105</v>
      </c>
      <c r="D16" s="13" t="s">
        <v>45</v>
      </c>
      <c r="E16" s="18" t="n">
        <v>600</v>
      </c>
      <c r="F16" s="6" t="n">
        <f aca="false">IF(A16="","",IFERROR(E16/INDEX(Paramètres!$E$4:$E$7,MATCH(D16,Paramètres!$D$4:$D$7,0)),0))</f>
        <v>50</v>
      </c>
      <c r="G16" s="13" t="s">
        <v>116</v>
      </c>
      <c r="H16" s="13" t="s">
        <v>74</v>
      </c>
      <c r="I16" s="13"/>
      <c r="J16" s="13"/>
      <c r="K16" s="13" t="s">
        <v>101</v>
      </c>
      <c r="L16" s="7" t="n">
        <f aca="false">IF(A16="","",IF(K16="50/50",0.5,IF(K16="Prorata salaires",Paramètres!$B$9,IF(K16="Personne 1 seul",1,IF(K16="Personne 2 seul",0,0.5)))))</f>
        <v>0.5</v>
      </c>
      <c r="M16" s="6" t="n">
        <f aca="false">IF(A16="","",F16*L16)</f>
        <v>25</v>
      </c>
      <c r="N16" s="6" t="n">
        <f aca="false">IF(A16="","",F16-M16)</f>
        <v>25</v>
      </c>
    </row>
    <row r="17" customFormat="false" ht="15" hidden="false" customHeight="false" outlineLevel="0" collapsed="false">
      <c r="A17" s="13" t="s">
        <v>123</v>
      </c>
      <c r="B17" s="13" t="s">
        <v>124</v>
      </c>
      <c r="C17" s="13" t="s">
        <v>105</v>
      </c>
      <c r="D17" s="13" t="s">
        <v>36</v>
      </c>
      <c r="E17" s="18" t="n">
        <v>30</v>
      </c>
      <c r="F17" s="6" t="n">
        <f aca="false">IF(A17="","",IFERROR(E17/INDEX(Paramètres!$E$4:$E$7,MATCH(D17,Paramètres!$D$4:$D$7,0)),0))</f>
        <v>30</v>
      </c>
      <c r="G17" s="13" t="s">
        <v>125</v>
      </c>
      <c r="H17" s="13" t="s">
        <v>74</v>
      </c>
      <c r="I17" s="13"/>
      <c r="J17" s="13"/>
      <c r="K17" s="13" t="s">
        <v>101</v>
      </c>
      <c r="L17" s="7" t="n">
        <f aca="false">IF(A17="","",IF(K17="50/50",0.5,IF(K17="Prorata salaires",Paramètres!$B$9,IF(K17="Personne 1 seul",1,IF(K17="Personne 2 seul",0,0.5)))))</f>
        <v>0.5</v>
      </c>
      <c r="M17" s="6" t="n">
        <f aca="false">IF(A17="","",F17*L17)</f>
        <v>15</v>
      </c>
      <c r="N17" s="6" t="n">
        <f aca="false">IF(A17="","",F17-M17)</f>
        <v>15</v>
      </c>
    </row>
    <row r="18" customFormat="false" ht="15" hidden="false" customHeight="false" outlineLevel="0" collapsed="false">
      <c r="A18" s="13" t="s">
        <v>126</v>
      </c>
      <c r="B18" s="13" t="s">
        <v>127</v>
      </c>
      <c r="C18" s="13" t="s">
        <v>105</v>
      </c>
      <c r="D18" s="13" t="s">
        <v>45</v>
      </c>
      <c r="E18" s="18" t="n">
        <v>500</v>
      </c>
      <c r="F18" s="6" t="n">
        <f aca="false">IF(A18="","",IFERROR(E18/INDEX(Paramètres!$E$4:$E$7,MATCH(D18,Paramètres!$D$4:$D$7,0)),0))</f>
        <v>41.6666666666667</v>
      </c>
      <c r="G18" s="13" t="s">
        <v>116</v>
      </c>
      <c r="H18" s="13" t="s">
        <v>74</v>
      </c>
      <c r="I18" s="13"/>
      <c r="J18" s="13"/>
      <c r="K18" s="13" t="s">
        <v>101</v>
      </c>
      <c r="L18" s="7" t="n">
        <f aca="false">IF(A18="","",IF(K18="50/50",0.5,IF(K18="Prorata salaires",Paramètres!$B$9,IF(K18="Personne 1 seul",1,IF(K18="Personne 2 seul",0,0.5)))))</f>
        <v>0.5</v>
      </c>
      <c r="M18" s="6" t="n">
        <f aca="false">IF(A18="","",F18*L18)</f>
        <v>20.8333333333333</v>
      </c>
      <c r="N18" s="6" t="n">
        <f aca="false">IF(A18="","",F18-M18)</f>
        <v>20.8333333333333</v>
      </c>
    </row>
    <row r="19" customFormat="false" ht="15" hidden="false" customHeight="false" outlineLevel="0" collapsed="false">
      <c r="A19" s="13" t="s">
        <v>128</v>
      </c>
      <c r="B19" s="13" t="s">
        <v>129</v>
      </c>
      <c r="C19" s="13" t="s">
        <v>105</v>
      </c>
      <c r="D19" s="13" t="s">
        <v>36</v>
      </c>
      <c r="E19" s="21" t="n">
        <f aca="false">Paramètres!$B$22*SUMIFS(Revenus!$F$5:$F$24,Revenus!$B$5:$B$24,"Salaire")</f>
        <v>129</v>
      </c>
      <c r="F19" s="6" t="n">
        <f aca="false">IF(A19="","",IFERROR(E19/INDEX(Paramètres!$E$4:$E$7,MATCH(D19,Paramètres!$D$4:$D$7,0)),0))</f>
        <v>129</v>
      </c>
      <c r="G19" s="13" t="s">
        <v>118</v>
      </c>
      <c r="H19" s="13" t="s">
        <v>74</v>
      </c>
      <c r="I19" s="13" t="s">
        <v>81</v>
      </c>
      <c r="J19" s="13" t="n">
        <v>3</v>
      </c>
      <c r="K19" s="13" t="s">
        <v>101</v>
      </c>
      <c r="L19" s="7" t="n">
        <f aca="false">IF(A19="","",IF(K19="50/50",0.5,IF(K19="Prorata salaires",Paramètres!$B$9,IF(K19="Personne 1 seul",1,IF(K19="Personne 2 seul",0,0.5)))))</f>
        <v>0.5</v>
      </c>
      <c r="M19" s="6" t="n">
        <f aca="false">IF(A19="","",F19*L19)</f>
        <v>64.5</v>
      </c>
      <c r="N19" s="6" t="n">
        <f aca="false">IF(A19="","",F19-M19)</f>
        <v>64.5</v>
      </c>
    </row>
    <row r="20" customFormat="false" ht="15" hidden="false" customHeight="false" outlineLevel="0" collapsed="false">
      <c r="A20" s="13" t="s">
        <v>130</v>
      </c>
      <c r="B20" s="13" t="s">
        <v>131</v>
      </c>
      <c r="C20" s="13" t="s">
        <v>28</v>
      </c>
      <c r="D20" s="13" t="s">
        <v>36</v>
      </c>
      <c r="E20" s="18" t="n">
        <v>120</v>
      </c>
      <c r="F20" s="6" t="n">
        <f aca="false">IF(A20="","",IFERROR(E20/INDEX(Paramètres!$E$4:$E$7,MATCH(D20,Paramètres!$D$4:$D$7,0)),0))</f>
        <v>120</v>
      </c>
      <c r="G20" s="13" t="s">
        <v>132</v>
      </c>
      <c r="H20" s="13" t="s">
        <v>74</v>
      </c>
      <c r="I20" s="13"/>
      <c r="J20" s="13" t="n">
        <v>1</v>
      </c>
      <c r="K20" s="13" t="s">
        <v>101</v>
      </c>
      <c r="L20" s="7" t="n">
        <f aca="false">IF(A20="","",IF(K20="50/50",0.5,IF(K20="Prorata salaires",Paramètres!$B$9,IF(K20="Personne 1 seul",1,IF(K20="Personne 2 seul",0,0.5)))))</f>
        <v>0.5</v>
      </c>
      <c r="M20" s="6" t="n">
        <f aca="false">IF(A20="","",F20*L20)</f>
        <v>60</v>
      </c>
      <c r="N20" s="6" t="n">
        <f aca="false">IF(A20="","",F20-M20)</f>
        <v>60</v>
      </c>
    </row>
    <row r="21" customFormat="false" ht="15" hidden="false" customHeight="false" outlineLevel="0" collapsed="false">
      <c r="A21" s="13" t="s">
        <v>133</v>
      </c>
      <c r="B21" s="13" t="s">
        <v>120</v>
      </c>
      <c r="C21" s="13" t="s">
        <v>28</v>
      </c>
      <c r="D21" s="13" t="s">
        <v>36</v>
      </c>
      <c r="E21" s="18" t="n">
        <v>30</v>
      </c>
      <c r="F21" s="6" t="n">
        <f aca="false">IF(A21="","",IFERROR(E21/INDEX(Paramètres!$E$4:$E$7,MATCH(D21,Paramètres!$D$4:$D$7,0)),0))</f>
        <v>30</v>
      </c>
      <c r="G21" s="13" t="s">
        <v>132</v>
      </c>
      <c r="H21" s="13" t="s">
        <v>74</v>
      </c>
      <c r="I21" s="13"/>
      <c r="J21" s="13" t="n">
        <v>1</v>
      </c>
      <c r="K21" s="13" t="s">
        <v>101</v>
      </c>
      <c r="L21" s="7" t="n">
        <f aca="false">IF(A21="","",IF(K21="50/50",0.5,IF(K21="Prorata salaires",Paramètres!$B$9,IF(K21="Personne 1 seul",1,IF(K21="Personne 2 seul",0,0.5)))))</f>
        <v>0.5</v>
      </c>
      <c r="M21" s="6" t="n">
        <f aca="false">IF(A21="","",F21*L21)</f>
        <v>15</v>
      </c>
      <c r="N21" s="6" t="n">
        <f aca="false">IF(A21="","",F21-M21)</f>
        <v>15</v>
      </c>
    </row>
    <row r="22" customFormat="false" ht="15" hidden="false" customHeight="false" outlineLevel="0" collapsed="false">
      <c r="A22" s="13" t="s">
        <v>134</v>
      </c>
      <c r="B22" s="13" t="s">
        <v>115</v>
      </c>
      <c r="C22" s="13" t="s">
        <v>105</v>
      </c>
      <c r="D22" s="13" t="s">
        <v>36</v>
      </c>
      <c r="E22" s="18" t="n">
        <v>60</v>
      </c>
      <c r="F22" s="6" t="n">
        <f aca="false">IF(A22="","",IFERROR(E22/INDEX(Paramètres!$E$4:$E$7,MATCH(D22,Paramètres!$D$4:$D$7,0)),0))</f>
        <v>60</v>
      </c>
      <c r="G22" s="13" t="s">
        <v>132</v>
      </c>
      <c r="H22" s="13" t="s">
        <v>74</v>
      </c>
      <c r="I22" s="13"/>
      <c r="J22" s="13"/>
      <c r="K22" s="13" t="s">
        <v>101</v>
      </c>
      <c r="L22" s="7" t="n">
        <f aca="false">IF(A22="","",IF(K22="50/50",0.5,IF(K22="Prorata salaires",Paramètres!$B$9,IF(K22="Personne 1 seul",1,IF(K22="Personne 2 seul",0,0.5)))))</f>
        <v>0.5</v>
      </c>
      <c r="M22" s="6" t="n">
        <f aca="false">IF(A22="","",F22*L22)</f>
        <v>30</v>
      </c>
      <c r="N22" s="6" t="n">
        <f aca="false">IF(A22="","",F22-M22)</f>
        <v>30</v>
      </c>
    </row>
    <row r="23" customFormat="false" ht="15" hidden="false" customHeight="false" outlineLevel="0" collapsed="false">
      <c r="A23" s="13"/>
      <c r="B23" s="13"/>
      <c r="C23" s="13"/>
      <c r="D23" s="13"/>
      <c r="E23" s="18"/>
      <c r="F23" s="6" t="str">
        <f aca="false">IF(A23="","",IFERROR(E23/INDEX(Paramètres!$E$4:$E$7,MATCH(D23,Paramètres!$D$4:$D$7,0)),0))</f>
        <v/>
      </c>
      <c r="G23" s="13"/>
      <c r="H23" s="13"/>
      <c r="I23" s="13"/>
      <c r="J23" s="13"/>
      <c r="K23" s="13"/>
      <c r="L23" s="7" t="str">
        <f aca="false">IF(A23="","",IF(K23="50/50",0.5,IF(K23="Prorata salaires",Paramètres!$B$9,IF(K23="Personne 1 seul",1,IF(K23="Personne 2 seul",0,0.5)))))</f>
        <v/>
      </c>
      <c r="M23" s="6" t="str">
        <f aca="false">IF(A23="","",F23*L23)</f>
        <v/>
      </c>
      <c r="N23" s="6" t="str">
        <f aca="false">IF(A23="","",F23-M23)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8"/>
      <c r="F24" s="6" t="str">
        <f aca="false">IF(A24="","",IFERROR(E24/INDEX(Paramètres!$E$4:$E$7,MATCH(D24,Paramètres!$D$4:$D$7,0)),0))</f>
        <v/>
      </c>
      <c r="G24" s="13"/>
      <c r="H24" s="13"/>
      <c r="I24" s="13"/>
      <c r="J24" s="13"/>
      <c r="K24" s="13"/>
      <c r="L24" s="7" t="str">
        <f aca="false">IF(A24="","",IF(K24="50/50",0.5,IF(K24="Prorata salaires",Paramètres!$B$9,IF(K24="Personne 1 seul",1,IF(K24="Personne 2 seul",0,0.5)))))</f>
        <v/>
      </c>
      <c r="M24" s="6" t="str">
        <f aca="false">IF(A24="","",F24*L24)</f>
        <v/>
      </c>
      <c r="N24" s="6" t="str">
        <f aca="false">IF(A24="","",F24-M24)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8"/>
      <c r="F25" s="6" t="str">
        <f aca="false">IF(A25="","",IFERROR(E25/INDEX(Paramètres!$E$4:$E$7,MATCH(D25,Paramètres!$D$4:$D$7,0)),0))</f>
        <v/>
      </c>
      <c r="G25" s="13"/>
      <c r="H25" s="13"/>
      <c r="I25" s="13"/>
      <c r="J25" s="13"/>
      <c r="K25" s="13"/>
      <c r="L25" s="7" t="str">
        <f aca="false">IF(A25="","",IF(K25="50/50",0.5,IF(K25="Prorata salaires",Paramètres!$B$9,IF(K25="Personne 1 seul",1,IF(K25="Personne 2 seul",0,0.5)))))</f>
        <v/>
      </c>
      <c r="M25" s="6" t="str">
        <f aca="false">IF(A25="","",F25*L25)</f>
        <v/>
      </c>
      <c r="N25" s="6" t="str">
        <f aca="false">IF(A25="","",F25-M25)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8"/>
      <c r="F26" s="6" t="str">
        <f aca="false">IF(A26="","",IFERROR(E26/INDEX(Paramètres!$E$4:$E$7,MATCH(D26,Paramètres!$D$4:$D$7,0)),0))</f>
        <v/>
      </c>
      <c r="G26" s="13"/>
      <c r="H26" s="13"/>
      <c r="I26" s="13"/>
      <c r="J26" s="13"/>
      <c r="K26" s="13"/>
      <c r="L26" s="7" t="str">
        <f aca="false">IF(A26="","",IF(K26="50/50",0.5,IF(K26="Prorata salaires",Paramètres!$B$9,IF(K26="Personne 1 seul",1,IF(K26="Personne 2 seul",0,0.5)))))</f>
        <v/>
      </c>
      <c r="M26" s="6" t="str">
        <f aca="false">IF(A26="","",F26*L26)</f>
        <v/>
      </c>
      <c r="N26" s="6" t="str">
        <f aca="false">IF(A26="","",F26-M26)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8"/>
      <c r="F27" s="6" t="str">
        <f aca="false">IF(A27="","",IFERROR(E27/INDEX(Paramètres!$E$4:$E$7,MATCH(D27,Paramètres!$D$4:$D$7,0)),0))</f>
        <v/>
      </c>
      <c r="G27" s="13"/>
      <c r="H27" s="13"/>
      <c r="I27" s="13"/>
      <c r="J27" s="13"/>
      <c r="K27" s="13"/>
      <c r="L27" s="7" t="str">
        <f aca="false">IF(A27="","",IF(K27="50/50",0.5,IF(K27="Prorata salaires",Paramètres!$B$9,IF(K27="Personne 1 seul",1,IF(K27="Personne 2 seul",0,0.5)))))</f>
        <v/>
      </c>
      <c r="M27" s="6" t="str">
        <f aca="false">IF(A27="","",F27*L27)</f>
        <v/>
      </c>
      <c r="N27" s="6" t="str">
        <f aca="false">IF(A27="","",F27-M27)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8"/>
      <c r="F28" s="6" t="str">
        <f aca="false">IF(A28="","",IFERROR(E28/INDEX(Paramètres!$E$4:$E$7,MATCH(D28,Paramètres!$D$4:$D$7,0)),0))</f>
        <v/>
      </c>
      <c r="G28" s="13"/>
      <c r="H28" s="13"/>
      <c r="I28" s="13"/>
      <c r="J28" s="13"/>
      <c r="K28" s="13"/>
      <c r="L28" s="7" t="str">
        <f aca="false">IF(A28="","",IF(K28="50/50",0.5,IF(K28="Prorata salaires",Paramètres!$B$9,IF(K28="Personne 1 seul",1,IF(K28="Personne 2 seul",0,0.5)))))</f>
        <v/>
      </c>
      <c r="M28" s="6" t="str">
        <f aca="false">IF(A28="","",F28*L28)</f>
        <v/>
      </c>
      <c r="N28" s="6" t="str">
        <f aca="false">IF(A28="","",F28-M28)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8"/>
      <c r="F29" s="6" t="str">
        <f aca="false">IF(A29="","",IFERROR(E29/INDEX(Paramètres!$E$4:$E$7,MATCH(D29,Paramètres!$D$4:$D$7,0)),0))</f>
        <v/>
      </c>
      <c r="G29" s="13"/>
      <c r="H29" s="13"/>
      <c r="I29" s="13"/>
      <c r="J29" s="13"/>
      <c r="K29" s="13"/>
      <c r="L29" s="7" t="str">
        <f aca="false">IF(A29="","",IF(K29="50/50",0.5,IF(K29="Prorata salaires",Paramètres!$B$9,IF(K29="Personne 1 seul",1,IF(K29="Personne 2 seul",0,0.5)))))</f>
        <v/>
      </c>
      <c r="M29" s="6" t="str">
        <f aca="false">IF(A29="","",F29*L29)</f>
        <v/>
      </c>
      <c r="N29" s="6" t="str">
        <f aca="false">IF(A29="","",F29-M29)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8"/>
      <c r="F30" s="6" t="str">
        <f aca="false">IF(A30="","",IFERROR(E30/INDEX(Paramètres!$E$4:$E$7,MATCH(D30,Paramètres!$D$4:$D$7,0)),0))</f>
        <v/>
      </c>
      <c r="G30" s="13"/>
      <c r="H30" s="13"/>
      <c r="I30" s="13"/>
      <c r="J30" s="13"/>
      <c r="K30" s="13"/>
      <c r="L30" s="7" t="str">
        <f aca="false">IF(A30="","",IF(K30="50/50",0.5,IF(K30="Prorata salaires",Paramètres!$B$9,IF(K30="Personne 1 seul",1,IF(K30="Personne 2 seul",0,0.5)))))</f>
        <v/>
      </c>
      <c r="M30" s="6" t="str">
        <f aca="false">IF(A30="","",F30*L30)</f>
        <v/>
      </c>
      <c r="N30" s="6" t="str">
        <f aca="false">IF(A30="","",F30-M30)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8"/>
      <c r="F31" s="6" t="str">
        <f aca="false">IF(A31="","",IFERROR(E31/INDEX(Paramètres!$E$4:$E$7,MATCH(D31,Paramètres!$D$4:$D$7,0)),0))</f>
        <v/>
      </c>
      <c r="G31" s="13"/>
      <c r="H31" s="13"/>
      <c r="I31" s="13"/>
      <c r="J31" s="13"/>
      <c r="K31" s="13"/>
      <c r="L31" s="7" t="str">
        <f aca="false">IF(A31="","",IF(K31="50/50",0.5,IF(K31="Prorata salaires",Paramètres!$B$9,IF(K31="Personne 1 seul",1,IF(K31="Personne 2 seul",0,0.5)))))</f>
        <v/>
      </c>
      <c r="M31" s="6" t="str">
        <f aca="false">IF(A31="","",F31*L31)</f>
        <v/>
      </c>
      <c r="N31" s="6" t="str">
        <f aca="false">IF(A31="","",F31-M31)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8"/>
      <c r="F32" s="6" t="str">
        <f aca="false">IF(A32="","",IFERROR(E32/INDEX(Paramètres!$E$4:$E$7,MATCH(D32,Paramètres!$D$4:$D$7,0)),0))</f>
        <v/>
      </c>
      <c r="G32" s="13"/>
      <c r="H32" s="13"/>
      <c r="I32" s="13"/>
      <c r="J32" s="13"/>
      <c r="K32" s="13"/>
      <c r="L32" s="7" t="str">
        <f aca="false">IF(A32="","",IF(K32="50/50",0.5,IF(K32="Prorata salaires",Paramètres!$B$9,IF(K32="Personne 1 seul",1,IF(K32="Personne 2 seul",0,0.5)))))</f>
        <v/>
      </c>
      <c r="M32" s="6" t="str">
        <f aca="false">IF(A32="","",F32*L32)</f>
        <v/>
      </c>
      <c r="N32" s="6" t="str">
        <f aca="false">IF(A32="","",F32-M32)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8"/>
      <c r="F33" s="6" t="str">
        <f aca="false">IF(A33="","",IFERROR(E33/INDEX(Paramètres!$E$4:$E$7,MATCH(D33,Paramètres!$D$4:$D$7,0)),0))</f>
        <v/>
      </c>
      <c r="G33" s="13"/>
      <c r="H33" s="13"/>
      <c r="I33" s="13"/>
      <c r="J33" s="13"/>
      <c r="K33" s="13"/>
      <c r="L33" s="7" t="str">
        <f aca="false">IF(A33="","",IF(K33="50/50",0.5,IF(K33="Prorata salaires",Paramètres!$B$9,IF(K33="Personne 1 seul",1,IF(K33="Personne 2 seul",0,0.5)))))</f>
        <v/>
      </c>
      <c r="M33" s="6" t="str">
        <f aca="false">IF(A33="","",F33*L33)</f>
        <v/>
      </c>
      <c r="N33" s="6" t="str">
        <f aca="false">IF(A33="","",F33-M33)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8"/>
      <c r="F34" s="6" t="str">
        <f aca="false">IF(A34="","",IFERROR(E34/INDEX(Paramètres!$E$4:$E$7,MATCH(D34,Paramètres!$D$4:$D$7,0)),0))</f>
        <v/>
      </c>
      <c r="G34" s="13"/>
      <c r="H34" s="13"/>
      <c r="I34" s="13"/>
      <c r="J34" s="13"/>
      <c r="K34" s="13"/>
      <c r="L34" s="7" t="str">
        <f aca="false">IF(A34="","",IF(K34="50/50",0.5,IF(K34="Prorata salaires",Paramètres!$B$9,IF(K34="Personne 1 seul",1,IF(K34="Personne 2 seul",0,0.5)))))</f>
        <v/>
      </c>
      <c r="M34" s="6" t="str">
        <f aca="false">IF(A34="","",F34*L34)</f>
        <v/>
      </c>
      <c r="N34" s="6" t="str">
        <f aca="false">IF(A34="","",F34-M34)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8"/>
      <c r="F35" s="6" t="str">
        <f aca="false">IF(A35="","",IFERROR(E35/INDEX(Paramètres!$E$4:$E$7,MATCH(D35,Paramètres!$D$4:$D$7,0)),0))</f>
        <v/>
      </c>
      <c r="G35" s="13"/>
      <c r="H35" s="13"/>
      <c r="I35" s="13"/>
      <c r="J35" s="13"/>
      <c r="K35" s="13"/>
      <c r="L35" s="7" t="str">
        <f aca="false">IF(A35="","",IF(K35="50/50",0.5,IF(K35="Prorata salaires",Paramètres!$B$9,IF(K35="Personne 1 seul",1,IF(K35="Personne 2 seul",0,0.5)))))</f>
        <v/>
      </c>
      <c r="M35" s="6" t="str">
        <f aca="false">IF(A35="","",F35*L35)</f>
        <v/>
      </c>
      <c r="N35" s="6" t="str">
        <f aca="false">IF(A35="","",F35-M35)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8"/>
      <c r="F36" s="6" t="str">
        <f aca="false">IF(A36="","",IFERROR(E36/INDEX(Paramètres!$E$4:$E$7,MATCH(D36,Paramètres!$D$4:$D$7,0)),0))</f>
        <v/>
      </c>
      <c r="G36" s="13"/>
      <c r="H36" s="13"/>
      <c r="I36" s="13"/>
      <c r="J36" s="13"/>
      <c r="K36" s="13"/>
      <c r="L36" s="7" t="str">
        <f aca="false">IF(A36="","",IF(K36="50/50",0.5,IF(K36="Prorata salaires",Paramètres!$B$9,IF(K36="Personne 1 seul",1,IF(K36="Personne 2 seul",0,0.5)))))</f>
        <v/>
      </c>
      <c r="M36" s="6" t="str">
        <f aca="false">IF(A36="","",F36*L36)</f>
        <v/>
      </c>
      <c r="N36" s="6" t="str">
        <f aca="false">IF(A36="","",F36-M36)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8"/>
      <c r="F37" s="6" t="str">
        <f aca="false">IF(A37="","",IFERROR(E37/INDEX(Paramètres!$E$4:$E$7,MATCH(D37,Paramètres!$D$4:$D$7,0)),0))</f>
        <v/>
      </c>
      <c r="G37" s="13"/>
      <c r="H37" s="13"/>
      <c r="I37" s="13"/>
      <c r="J37" s="13"/>
      <c r="K37" s="13"/>
      <c r="L37" s="7" t="str">
        <f aca="false">IF(A37="","",IF(K37="50/50",0.5,IF(K37="Prorata salaires",Paramètres!$B$9,IF(K37="Personne 1 seul",1,IF(K37="Personne 2 seul",0,0.5)))))</f>
        <v/>
      </c>
      <c r="M37" s="6" t="str">
        <f aca="false">IF(A37="","",F37*L37)</f>
        <v/>
      </c>
      <c r="N37" s="6" t="str">
        <f aca="false">IF(A37="","",F37-M37)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8"/>
      <c r="F38" s="6" t="str">
        <f aca="false">IF(A38="","",IFERROR(E38/INDEX(Paramètres!$E$4:$E$7,MATCH(D38,Paramètres!$D$4:$D$7,0)),0))</f>
        <v/>
      </c>
      <c r="G38" s="13"/>
      <c r="H38" s="13"/>
      <c r="I38" s="13"/>
      <c r="J38" s="13"/>
      <c r="K38" s="13"/>
      <c r="L38" s="7" t="str">
        <f aca="false">IF(A38="","",IF(K38="50/50",0.5,IF(K38="Prorata salaires",Paramètres!$B$9,IF(K38="Personne 1 seul",1,IF(K38="Personne 2 seul",0,0.5)))))</f>
        <v/>
      </c>
      <c r="M38" s="6" t="str">
        <f aca="false">IF(A38="","",F38*L38)</f>
        <v/>
      </c>
      <c r="N38" s="6" t="str">
        <f aca="false">IF(A38="","",F38-M38)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8"/>
      <c r="F39" s="6" t="str">
        <f aca="false">IF(A39="","",IFERROR(E39/INDEX(Paramètres!$E$4:$E$7,MATCH(D39,Paramètres!$D$4:$D$7,0)),0))</f>
        <v/>
      </c>
      <c r="G39" s="13"/>
      <c r="H39" s="13"/>
      <c r="I39" s="13"/>
      <c r="J39" s="13"/>
      <c r="K39" s="13"/>
      <c r="L39" s="7" t="str">
        <f aca="false">IF(A39="","",IF(K39="50/50",0.5,IF(K39="Prorata salaires",Paramètres!$B$9,IF(K39="Personne 1 seul",1,IF(K39="Personne 2 seul",0,0.5)))))</f>
        <v/>
      </c>
      <c r="M39" s="6" t="str">
        <f aca="false">IF(A39="","",F39*L39)</f>
        <v/>
      </c>
      <c r="N39" s="6" t="str">
        <f aca="false">IF(A39="","",F39-M39)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8"/>
      <c r="F40" s="6" t="str">
        <f aca="false">IF(A40="","",IFERROR(E40/INDEX(Paramètres!$E$4:$E$7,MATCH(D40,Paramètres!$D$4:$D$7,0)),0))</f>
        <v/>
      </c>
      <c r="G40" s="13"/>
      <c r="H40" s="13"/>
      <c r="I40" s="13"/>
      <c r="J40" s="13"/>
      <c r="K40" s="13"/>
      <c r="L40" s="7" t="str">
        <f aca="false">IF(A40="","",IF(K40="50/50",0.5,IF(K40="Prorata salaires",Paramètres!$B$9,IF(K40="Personne 1 seul",1,IF(K40="Personne 2 seul",0,0.5)))))</f>
        <v/>
      </c>
      <c r="M40" s="6" t="str">
        <f aca="false">IF(A40="","",F40*L40)</f>
        <v/>
      </c>
      <c r="N40" s="6" t="str">
        <f aca="false">IF(A40="","",F40-M40)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8"/>
      <c r="F41" s="6" t="str">
        <f aca="false">IF(A41="","",IFERROR(E41/INDEX(Paramètres!$E$4:$E$7,MATCH(D41,Paramètres!$D$4:$D$7,0)),0))</f>
        <v/>
      </c>
      <c r="G41" s="13"/>
      <c r="H41" s="13"/>
      <c r="I41" s="13"/>
      <c r="J41" s="13"/>
      <c r="K41" s="13"/>
      <c r="L41" s="7" t="str">
        <f aca="false">IF(A41="","",IF(K41="50/50",0.5,IF(K41="Prorata salaires",Paramètres!$B$9,IF(K41="Personne 1 seul",1,IF(K41="Personne 2 seul",0,0.5)))))</f>
        <v/>
      </c>
      <c r="M41" s="6" t="str">
        <f aca="false">IF(A41="","",F41*L41)</f>
        <v/>
      </c>
      <c r="N41" s="6" t="str">
        <f aca="false">IF(A41="","",F41-M41)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8"/>
      <c r="F42" s="6" t="str">
        <f aca="false">IF(A42="","",IFERROR(E42/INDEX(Paramètres!$E$4:$E$7,MATCH(D42,Paramètres!$D$4:$D$7,0)),0))</f>
        <v/>
      </c>
      <c r="G42" s="13"/>
      <c r="H42" s="13"/>
      <c r="I42" s="13"/>
      <c r="J42" s="13"/>
      <c r="K42" s="13"/>
      <c r="L42" s="7" t="str">
        <f aca="false">IF(A42="","",IF(K42="50/50",0.5,IF(K42="Prorata salaires",Paramètres!$B$9,IF(K42="Personne 1 seul",1,IF(K42="Personne 2 seul",0,0.5)))))</f>
        <v/>
      </c>
      <c r="M42" s="6" t="str">
        <f aca="false">IF(A42="","",F42*L42)</f>
        <v/>
      </c>
      <c r="N42" s="6" t="str">
        <f aca="false">IF(A42="","",F42-M42)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8"/>
      <c r="F43" s="6" t="str">
        <f aca="false">IF(A43="","",IFERROR(E43/INDEX(Paramètres!$E$4:$E$7,MATCH(D43,Paramètres!$D$4:$D$7,0)),0))</f>
        <v/>
      </c>
      <c r="G43" s="13"/>
      <c r="H43" s="13"/>
      <c r="I43" s="13"/>
      <c r="J43" s="13"/>
      <c r="K43" s="13"/>
      <c r="L43" s="7" t="str">
        <f aca="false">IF(A43="","",IF(K43="50/50",0.5,IF(K43="Prorata salaires",Paramètres!$B$9,IF(K43="Personne 1 seul",1,IF(K43="Personne 2 seul",0,0.5)))))</f>
        <v/>
      </c>
      <c r="M43" s="6" t="str">
        <f aca="false">IF(A43="","",F43*L43)</f>
        <v/>
      </c>
      <c r="N43" s="6" t="str">
        <f aca="false">IF(A43="","",F43-M43)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8"/>
      <c r="F44" s="6" t="str">
        <f aca="false">IF(A44="","",IFERROR(E44/INDEX(Paramètres!$E$4:$E$7,MATCH(D44,Paramètres!$D$4:$D$7,0)),0))</f>
        <v/>
      </c>
      <c r="G44" s="13"/>
      <c r="H44" s="13"/>
      <c r="I44" s="13"/>
      <c r="J44" s="13"/>
      <c r="K44" s="13"/>
      <c r="L44" s="7" t="str">
        <f aca="false">IF(A44="","",IF(K44="50/50",0.5,IF(K44="Prorata salaires",Paramètres!$B$9,IF(K44="Personne 1 seul",1,IF(K44="Personne 2 seul",0,0.5)))))</f>
        <v/>
      </c>
      <c r="M44" s="6" t="str">
        <f aca="false">IF(A44="","",F44*L44)</f>
        <v/>
      </c>
      <c r="N44" s="6" t="str">
        <f aca="false">IF(A44="","",F44-M44)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8"/>
      <c r="F45" s="6" t="str">
        <f aca="false">IF(A45="","",IFERROR(E45/INDEX(Paramètres!$E$4:$E$7,MATCH(D45,Paramètres!$D$4:$D$7,0)),0))</f>
        <v/>
      </c>
      <c r="G45" s="13"/>
      <c r="H45" s="13"/>
      <c r="I45" s="13"/>
      <c r="J45" s="13"/>
      <c r="K45" s="13"/>
      <c r="L45" s="7" t="str">
        <f aca="false">IF(A45="","",IF(K45="50/50",0.5,IF(K45="Prorata salaires",Paramètres!$B$9,IF(K45="Personne 1 seul",1,IF(K45="Personne 2 seul",0,0.5)))))</f>
        <v/>
      </c>
      <c r="M45" s="6" t="str">
        <f aca="false">IF(A45="","",F45*L45)</f>
        <v/>
      </c>
      <c r="N45" s="6" t="str">
        <f aca="false">IF(A45="","",F45-M45)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8"/>
      <c r="F46" s="6" t="str">
        <f aca="false">IF(A46="","",IFERROR(E46/INDEX(Paramètres!$E$4:$E$7,MATCH(D46,Paramètres!$D$4:$D$7,0)),0))</f>
        <v/>
      </c>
      <c r="G46" s="13"/>
      <c r="H46" s="13"/>
      <c r="I46" s="13"/>
      <c r="J46" s="13"/>
      <c r="K46" s="13"/>
      <c r="L46" s="7" t="str">
        <f aca="false">IF(A46="","",IF(K46="50/50",0.5,IF(K46="Prorata salaires",Paramètres!$B$9,IF(K46="Personne 1 seul",1,IF(K46="Personne 2 seul",0,0.5)))))</f>
        <v/>
      </c>
      <c r="M46" s="6" t="str">
        <f aca="false">IF(A46="","",F46*L46)</f>
        <v/>
      </c>
      <c r="N46" s="6" t="str">
        <f aca="false">IF(A46="","",F46-M46)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8"/>
      <c r="F47" s="6" t="str">
        <f aca="false">IF(A47="","",IFERROR(E47/INDEX(Paramètres!$E$4:$E$7,MATCH(D47,Paramètres!$D$4:$D$7,0)),0))</f>
        <v/>
      </c>
      <c r="G47" s="13"/>
      <c r="H47" s="13"/>
      <c r="I47" s="13"/>
      <c r="J47" s="13"/>
      <c r="K47" s="13"/>
      <c r="L47" s="7" t="str">
        <f aca="false">IF(A47="","",IF(K47="50/50",0.5,IF(K47="Prorata salaires",Paramètres!$B$9,IF(K47="Personne 1 seul",1,IF(K47="Personne 2 seul",0,0.5)))))</f>
        <v/>
      </c>
      <c r="M47" s="6" t="str">
        <f aca="false">IF(A47="","",F47*L47)</f>
        <v/>
      </c>
      <c r="N47" s="6" t="str">
        <f aca="false">IF(A47="","",F47-M47)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8"/>
      <c r="F48" s="6" t="str">
        <f aca="false">IF(A48="","",IFERROR(E48/INDEX(Paramètres!$E$4:$E$7,MATCH(D48,Paramètres!$D$4:$D$7,0)),0))</f>
        <v/>
      </c>
      <c r="G48" s="13"/>
      <c r="H48" s="13"/>
      <c r="I48" s="13"/>
      <c r="J48" s="13"/>
      <c r="K48" s="13"/>
      <c r="L48" s="7" t="str">
        <f aca="false">IF(A48="","",IF(K48="50/50",0.5,IF(K48="Prorata salaires",Paramètres!$B$9,IF(K48="Personne 1 seul",1,IF(K48="Personne 2 seul",0,0.5)))))</f>
        <v/>
      </c>
      <c r="M48" s="6" t="str">
        <f aca="false">IF(A48="","",F48*L48)</f>
        <v/>
      </c>
      <c r="N48" s="6" t="str">
        <f aca="false">IF(A48="","",F48-M48)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8"/>
      <c r="F49" s="6" t="str">
        <f aca="false">IF(A49="","",IFERROR(E49/INDEX(Paramètres!$E$4:$E$7,MATCH(D49,Paramètres!$D$4:$D$7,0)),0))</f>
        <v/>
      </c>
      <c r="G49" s="13"/>
      <c r="H49" s="13"/>
      <c r="I49" s="13"/>
      <c r="J49" s="13"/>
      <c r="K49" s="13"/>
      <c r="L49" s="7" t="str">
        <f aca="false">IF(A49="","",IF(K49="50/50",0.5,IF(K49="Prorata salaires",Paramètres!$B$9,IF(K49="Personne 1 seul",1,IF(K49="Personne 2 seul",0,0.5)))))</f>
        <v/>
      </c>
      <c r="M49" s="6" t="str">
        <f aca="false">IF(A49="","",F49*L49)</f>
        <v/>
      </c>
      <c r="N49" s="6" t="str">
        <f aca="false">IF(A49="","",F49-M49)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8"/>
      <c r="F50" s="6" t="str">
        <f aca="false">IF(A50="","",IFERROR(E50/INDEX(Paramètres!$E$4:$E$7,MATCH(D50,Paramètres!$D$4:$D$7,0)),0))</f>
        <v/>
      </c>
      <c r="G50" s="13"/>
      <c r="H50" s="13"/>
      <c r="I50" s="13"/>
      <c r="J50" s="13"/>
      <c r="K50" s="13"/>
      <c r="L50" s="7" t="str">
        <f aca="false">IF(A50="","",IF(K50="50/50",0.5,IF(K50="Prorata salaires",Paramètres!$B$9,IF(K50="Personne 1 seul",1,IF(K50="Personne 2 seul",0,0.5)))))</f>
        <v/>
      </c>
      <c r="M50" s="6" t="str">
        <f aca="false">IF(A50="","",F50*L50)</f>
        <v/>
      </c>
      <c r="N50" s="6" t="str">
        <f aca="false">IF(A50="","",F50-M50)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8"/>
      <c r="F51" s="6" t="str">
        <f aca="false">IF(A51="","",IFERROR(E51/INDEX(Paramètres!$E$4:$E$7,MATCH(D51,Paramètres!$D$4:$D$7,0)),0))</f>
        <v/>
      </c>
      <c r="G51" s="13"/>
      <c r="H51" s="13"/>
      <c r="I51" s="13"/>
      <c r="J51" s="13"/>
      <c r="K51" s="13"/>
      <c r="L51" s="7" t="str">
        <f aca="false">IF(A51="","",IF(K51="50/50",0.5,IF(K51="Prorata salaires",Paramètres!$B$9,IF(K51="Personne 1 seul",1,IF(K51="Personne 2 seul",0,0.5)))))</f>
        <v/>
      </c>
      <c r="M51" s="6" t="str">
        <f aca="false">IF(A51="","",F51*L51)</f>
        <v/>
      </c>
      <c r="N51" s="6" t="str">
        <f aca="false">IF(A51="","",F51-M51)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8"/>
      <c r="F52" s="6" t="str">
        <f aca="false">IF(A52="","",IFERROR(E52/INDEX(Paramètres!$E$4:$E$7,MATCH(D52,Paramètres!$D$4:$D$7,0)),0))</f>
        <v/>
      </c>
      <c r="G52" s="13"/>
      <c r="H52" s="13"/>
      <c r="I52" s="13"/>
      <c r="J52" s="13"/>
      <c r="K52" s="13"/>
      <c r="L52" s="7" t="str">
        <f aca="false">IF(A52="","",IF(K52="50/50",0.5,IF(K52="Prorata salaires",Paramètres!$B$9,IF(K52="Personne 1 seul",1,IF(K52="Personne 2 seul",0,0.5)))))</f>
        <v/>
      </c>
      <c r="M52" s="6" t="str">
        <f aca="false">IF(A52="","",F52*L52)</f>
        <v/>
      </c>
      <c r="N52" s="6" t="str">
        <f aca="false">IF(A52="","",F52-M52)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8"/>
      <c r="F53" s="6" t="str">
        <f aca="false">IF(A53="","",IFERROR(E53/INDEX(Paramètres!$E$4:$E$7,MATCH(D53,Paramètres!$D$4:$D$7,0)),0))</f>
        <v/>
      </c>
      <c r="G53" s="13"/>
      <c r="H53" s="13"/>
      <c r="I53" s="13"/>
      <c r="J53" s="13"/>
      <c r="K53" s="13"/>
      <c r="L53" s="7" t="str">
        <f aca="false">IF(A53="","",IF(K53="50/50",0.5,IF(K53="Prorata salaires",Paramètres!$B$9,IF(K53="Personne 1 seul",1,IF(K53="Personne 2 seul",0,0.5)))))</f>
        <v/>
      </c>
      <c r="M53" s="6" t="str">
        <f aca="false">IF(A53="","",F53*L53)</f>
        <v/>
      </c>
      <c r="N53" s="6" t="str">
        <f aca="false">IF(A53="","",F53-M53)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8"/>
      <c r="F54" s="6" t="str">
        <f aca="false">IF(A54="","",IFERROR(E54/INDEX(Paramètres!$E$4:$E$7,MATCH(D54,Paramètres!$D$4:$D$7,0)),0))</f>
        <v/>
      </c>
      <c r="G54" s="13"/>
      <c r="H54" s="13"/>
      <c r="I54" s="13"/>
      <c r="J54" s="13"/>
      <c r="K54" s="13"/>
      <c r="L54" s="7" t="str">
        <f aca="false">IF(A54="","",IF(K54="50/50",0.5,IF(K54="Prorata salaires",Paramètres!$B$9,IF(K54="Personne 1 seul",1,IF(K54="Personne 2 seul",0,0.5)))))</f>
        <v/>
      </c>
      <c r="M54" s="6" t="str">
        <f aca="false">IF(A54="","",F54*L54)</f>
        <v/>
      </c>
      <c r="N54" s="6" t="str">
        <f aca="false">IF(A54="","",F54-M54)</f>
        <v/>
      </c>
    </row>
    <row r="55" customFormat="false" ht="15" hidden="false" customHeight="false" outlineLevel="0" collapsed="false">
      <c r="A55" s="22" t="s">
        <v>135</v>
      </c>
      <c r="F55" s="9" t="n">
        <f aca="false">SUM(F5:F54)</f>
        <v>2902</v>
      </c>
      <c r="M55" s="9" t="n">
        <f aca="false">SUM(M5:M54)</f>
        <v>1545.15891472868</v>
      </c>
      <c r="N55" s="9" t="n">
        <f aca="false">SUM(N5:N54)</f>
        <v>1356.84108527132</v>
      </c>
    </row>
  </sheetData>
  <dataValidations count="5">
    <dataValidation allowBlank="true" errorStyle="stop" operator="between" showDropDown="false" showErrorMessage="false" showInputMessage="false" sqref="C5:C54" type="list">
      <formula1>"Fixe,Variable"</formula1>
      <formula2>0</formula2>
    </dataValidation>
    <dataValidation allowBlank="true" errorStyle="stop" operator="between" showDropDown="false" showErrorMessage="false" showInputMessage="false" sqref="D5:D5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54" type="list">
      <formula1>"Prélèvement,Virement,Carte,Chèque,Espèces"</formula1>
      <formula2>0</formula2>
    </dataValidation>
    <dataValidation allowBlank="true" errorStyle="stop" operator="between" showDropDown="false" showErrorMessage="false" showInputMessage="false" sqref="H5:H54" type="list">
      <formula1>Comptes!$A$5:$A$14</formula1>
      <formula2>0</formula2>
    </dataValidation>
    <dataValidation allowBlank="true" errorStyle="stop" operator="between" showDropDown="false" showErrorMessage="false" showInputMessage="false" sqref="K5:K54" type="list">
      <formula1>"50/50,Prorata salaires,Personne 1 seul,Personne 2 seul"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42" hidden="false" customHeight="true" outlineLevel="0" collapsed="false">
      <c r="A4" s="4" t="s">
        <v>85</v>
      </c>
      <c r="B4" s="4" t="s">
        <v>18</v>
      </c>
      <c r="C4" s="4" t="s">
        <v>3</v>
      </c>
      <c r="D4" s="4" t="s">
        <v>88</v>
      </c>
      <c r="E4" s="4" t="s">
        <v>32</v>
      </c>
      <c r="F4" s="4" t="s">
        <v>89</v>
      </c>
      <c r="G4" s="4" t="s">
        <v>138</v>
      </c>
      <c r="H4" s="4" t="s">
        <v>93</v>
      </c>
    </row>
    <row r="5" customFormat="false" ht="15" hidden="false" customHeight="false" outlineLevel="0" collapsed="false">
      <c r="A5" s="13" t="s">
        <v>139</v>
      </c>
      <c r="B5" s="13" t="s">
        <v>140</v>
      </c>
      <c r="C5" s="13" t="s">
        <v>35</v>
      </c>
      <c r="D5" s="18" t="n">
        <v>2400</v>
      </c>
      <c r="E5" s="13" t="s">
        <v>36</v>
      </c>
      <c r="F5" s="6" t="n">
        <f aca="false">IF(A5="","",IFERROR(D5/INDEX(Paramètres!$E$4:$E$7,MATCH(E5,Paramètres!$D$4:$D$7,0)),0))</f>
        <v>2400</v>
      </c>
      <c r="G5" s="13" t="s">
        <v>41</v>
      </c>
      <c r="H5" s="13" t="n">
        <v>28</v>
      </c>
    </row>
    <row r="6" customFormat="false" ht="15" hidden="false" customHeight="false" outlineLevel="0" collapsed="false">
      <c r="A6" s="13" t="s">
        <v>141</v>
      </c>
      <c r="B6" s="13" t="s">
        <v>140</v>
      </c>
      <c r="C6" s="13" t="s">
        <v>38</v>
      </c>
      <c r="D6" s="18" t="n">
        <v>1900</v>
      </c>
      <c r="E6" s="13" t="s">
        <v>36</v>
      </c>
      <c r="F6" s="6" t="n">
        <f aca="false">IF(A6="","",IFERROR(D6/INDEX(Paramètres!$E$4:$E$7,MATCH(E6,Paramètres!$D$4:$D$7,0)),0))</f>
        <v>1900</v>
      </c>
      <c r="G6" s="13" t="s">
        <v>44</v>
      </c>
      <c r="H6" s="13" t="n">
        <v>30</v>
      </c>
    </row>
    <row r="7" customFormat="false" ht="15" hidden="false" customHeight="false" outlineLevel="0" collapsed="false">
      <c r="A7" s="13" t="s">
        <v>142</v>
      </c>
      <c r="B7" s="13" t="s">
        <v>143</v>
      </c>
      <c r="C7" s="13" t="s">
        <v>144</v>
      </c>
      <c r="D7" s="18" t="n">
        <v>140</v>
      </c>
      <c r="E7" s="13" t="s">
        <v>36</v>
      </c>
      <c r="F7" s="6" t="n">
        <f aca="false">IF(A7="","",IFERROR(D7/INDEX(Paramètres!$E$4:$E$7,MATCH(E7,Paramètres!$D$4:$D$7,0)),0))</f>
        <v>140</v>
      </c>
      <c r="G7" s="13" t="s">
        <v>74</v>
      </c>
      <c r="H7" s="13" t="n">
        <v>5</v>
      </c>
    </row>
    <row r="8" customFormat="false" ht="15" hidden="false" customHeight="false" outlineLevel="0" collapsed="false">
      <c r="A8" s="13" t="s">
        <v>145</v>
      </c>
      <c r="B8" s="13" t="s">
        <v>143</v>
      </c>
      <c r="C8" s="13" t="s">
        <v>144</v>
      </c>
      <c r="D8" s="18" t="n">
        <v>270</v>
      </c>
      <c r="E8" s="13" t="s">
        <v>39</v>
      </c>
      <c r="F8" s="6" t="n">
        <f aca="false">IF(A8="","",IFERROR(D8/INDEX(Paramètres!$E$4:$E$7,MATCH(E8,Paramètres!$D$4:$D$7,0)),0))</f>
        <v>90</v>
      </c>
      <c r="G8" s="13" t="s">
        <v>74</v>
      </c>
      <c r="H8" s="13" t="n">
        <v>5</v>
      </c>
    </row>
    <row r="9" customFormat="false" ht="15" hidden="false" customHeight="false" outlineLevel="0" collapsed="false">
      <c r="A9" s="13"/>
      <c r="B9" s="13"/>
      <c r="C9" s="13"/>
      <c r="D9" s="18"/>
      <c r="E9" s="13"/>
      <c r="F9" s="6" t="str">
        <f aca="false">IF(A9="","",IFERROR(D9/INDEX(Paramètres!$E$4:$E$7,MATCH(E9,Paramètres!$D$4:$D$7,0)),0))</f>
        <v/>
      </c>
      <c r="G9" s="13"/>
      <c r="H9" s="13"/>
    </row>
    <row r="10" customFormat="false" ht="15" hidden="false" customHeight="false" outlineLevel="0" collapsed="false">
      <c r="A10" s="13"/>
      <c r="B10" s="13"/>
      <c r="C10" s="13"/>
      <c r="D10" s="18"/>
      <c r="E10" s="13"/>
      <c r="F10" s="6" t="str">
        <f aca="false">IF(A10="","",IFERROR(D10/INDEX(Paramètres!$E$4:$E$7,MATCH(E10,Paramètres!$D$4:$D$7,0)),0))</f>
        <v/>
      </c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8"/>
      <c r="E11" s="13"/>
      <c r="F11" s="6" t="str">
        <f aca="false">IF(A11="","",IFERROR(D11/INDEX(Paramètres!$E$4:$E$7,MATCH(E11,Paramètres!$D$4:$D$7,0)),0))</f>
        <v/>
      </c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8"/>
      <c r="E12" s="13"/>
      <c r="F12" s="6" t="str">
        <f aca="false">IF(A12="","",IFERROR(D12/INDEX(Paramètres!$E$4:$E$7,MATCH(E12,Paramètres!$D$4:$D$7,0)),0))</f>
        <v/>
      </c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8"/>
      <c r="E13" s="13"/>
      <c r="F13" s="6" t="str">
        <f aca="false">IF(A13="","",IFERROR(D13/INDEX(Paramètres!$E$4:$E$7,MATCH(E13,Paramètres!$D$4:$D$7,0)),0))</f>
        <v/>
      </c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8"/>
      <c r="E14" s="13"/>
      <c r="F14" s="6" t="str">
        <f aca="false">IF(A14="","",IFERROR(D14/INDEX(Paramètres!$E$4:$E$7,MATCH(E14,Paramètres!$D$4:$D$7,0)),0))</f>
        <v/>
      </c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8"/>
      <c r="E15" s="13"/>
      <c r="F15" s="6" t="str">
        <f aca="false">IF(A15="","",IFERROR(D15/INDEX(Paramètres!$E$4:$E$7,MATCH(E15,Paramètres!$D$4:$D$7,0)),0))</f>
        <v/>
      </c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8"/>
      <c r="E16" s="13"/>
      <c r="F16" s="6" t="str">
        <f aca="false">IF(A16="","",IFERROR(D16/INDEX(Paramètres!$E$4:$E$7,MATCH(E16,Paramètres!$D$4:$D$7,0)),0))</f>
        <v/>
      </c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8"/>
      <c r="E17" s="13"/>
      <c r="F17" s="6" t="str">
        <f aca="false">IF(A17="","",IFERROR(D17/INDEX(Paramètres!$E$4:$E$7,MATCH(E17,Paramètres!$D$4:$D$7,0)),0))</f>
        <v/>
      </c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8"/>
      <c r="E18" s="13"/>
      <c r="F18" s="6" t="str">
        <f aca="false">IF(A18="","",IFERROR(D18/INDEX(Paramètres!$E$4:$E$7,MATCH(E18,Paramètres!$D$4:$D$7,0)),0))</f>
        <v/>
      </c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8"/>
      <c r="E19" s="13"/>
      <c r="F19" s="6" t="str">
        <f aca="false">IF(A19="","",IFERROR(D19/INDEX(Paramètres!$E$4:$E$7,MATCH(E19,Paramètres!$D$4:$D$7,0)),0))</f>
        <v/>
      </c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8"/>
      <c r="E20" s="13"/>
      <c r="F20" s="6" t="str">
        <f aca="false">IF(A20="","",IFERROR(D20/INDEX(Paramètres!$E$4:$E$7,MATCH(E20,Paramètres!$D$4:$D$7,0)),0))</f>
        <v/>
      </c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8"/>
      <c r="E21" s="13"/>
      <c r="F21" s="6" t="str">
        <f aca="false">IF(A21="","",IFERROR(D21/INDEX(Paramètres!$E$4:$E$7,MATCH(E21,Paramètres!$D$4:$D$7,0)),0))</f>
        <v/>
      </c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8"/>
      <c r="E22" s="13"/>
      <c r="F22" s="6" t="str">
        <f aca="false">IF(A22="","",IFERROR(D22/INDEX(Paramètres!$E$4:$E$7,MATCH(E22,Paramètres!$D$4:$D$7,0)),0))</f>
        <v/>
      </c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8"/>
      <c r="E23" s="13"/>
      <c r="F23" s="6" t="str">
        <f aca="false">IF(A23="","",IFERROR(D23/INDEX(Paramètres!$E$4:$E$7,MATCH(E23,Paramètres!$D$4:$D$7,0)),0))</f>
        <v/>
      </c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8"/>
      <c r="E24" s="13"/>
      <c r="F24" s="6" t="str">
        <f aca="false">IF(A24="","",IFERROR(D24/INDEX(Paramètres!$E$4:$E$7,MATCH(E24,Paramètres!$D$4:$D$7,0)),0))</f>
        <v/>
      </c>
      <c r="G24" s="13"/>
      <c r="H24" s="13"/>
    </row>
    <row r="25" customFormat="false" ht="15" hidden="false" customHeight="false" outlineLevel="0" collapsed="false">
      <c r="A25" s="22" t="s">
        <v>135</v>
      </c>
      <c r="F25" s="9" t="n">
        <f aca="false">SUM(F5:F24)</f>
        <v>4530</v>
      </c>
    </row>
  </sheetData>
  <dataValidations count="3">
    <dataValidation allowBlank="true" errorStyle="stop" operator="between" showDropDown="false" showErrorMessage="false" showInputMessage="false" sqref="B5:B24" type="list">
      <formula1>"Salaire,Aide,Autre"</formula1>
      <formula2>0</formula2>
    </dataValidation>
    <dataValidation allowBlank="true" errorStyle="stop" operator="between" showDropDown="false" showErrorMessage="false" showInputMessage="false" sqref="E5:E2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24" type="list">
      <formula1>Comptes!$A$5:$A$14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42" hidden="false" customHeight="true" outlineLevel="0" collapsed="false">
      <c r="A4" s="4" t="s">
        <v>85</v>
      </c>
      <c r="B4" s="4" t="s">
        <v>3</v>
      </c>
      <c r="C4" s="4" t="s">
        <v>86</v>
      </c>
      <c r="D4" s="4" t="s">
        <v>32</v>
      </c>
      <c r="E4" s="4" t="s">
        <v>88</v>
      </c>
      <c r="F4" s="4" t="s">
        <v>89</v>
      </c>
      <c r="G4" s="4" t="s">
        <v>90</v>
      </c>
      <c r="H4" s="4" t="s">
        <v>91</v>
      </c>
      <c r="I4" s="4" t="s">
        <v>93</v>
      </c>
    </row>
    <row r="5" customFormat="false" ht="15" hidden="false" customHeight="false" outlineLevel="0" collapsed="false">
      <c r="A5" s="13" t="s">
        <v>148</v>
      </c>
      <c r="B5" s="13" t="s">
        <v>35</v>
      </c>
      <c r="C5" s="13" t="s">
        <v>127</v>
      </c>
      <c r="D5" s="13" t="s">
        <v>36</v>
      </c>
      <c r="E5" s="18" t="n">
        <v>35</v>
      </c>
      <c r="F5" s="6" t="n">
        <f aca="false">IF(A5="","",IFERROR(E5/INDEX(Paramètres!$E$4:$E$7,MATCH(D5,Paramètres!$D$4:$D$7,0)),0))</f>
        <v>35</v>
      </c>
      <c r="G5" s="13" t="s">
        <v>98</v>
      </c>
      <c r="H5" s="13" t="s">
        <v>41</v>
      </c>
      <c r="I5" s="13" t="n">
        <v>10</v>
      </c>
    </row>
    <row r="6" customFormat="false" ht="15" hidden="false" customHeight="false" outlineLevel="0" collapsed="false">
      <c r="A6" s="13" t="s">
        <v>149</v>
      </c>
      <c r="B6" s="13" t="s">
        <v>35</v>
      </c>
      <c r="C6" s="13" t="s">
        <v>150</v>
      </c>
      <c r="D6" s="13" t="s">
        <v>39</v>
      </c>
      <c r="E6" s="18" t="n">
        <v>120</v>
      </c>
      <c r="F6" s="6" t="n">
        <f aca="false">IF(A6="","",IFERROR(E6/INDEX(Paramètres!$E$4:$E$7,MATCH(D6,Paramètres!$D$4:$D$7,0)),0))</f>
        <v>40</v>
      </c>
      <c r="G6" s="13" t="s">
        <v>116</v>
      </c>
      <c r="H6" s="13" t="s">
        <v>41</v>
      </c>
      <c r="I6" s="13"/>
    </row>
    <row r="7" customFormat="false" ht="15" hidden="false" customHeight="false" outlineLevel="0" collapsed="false">
      <c r="A7" s="13" t="s">
        <v>151</v>
      </c>
      <c r="B7" s="13" t="s">
        <v>35</v>
      </c>
      <c r="C7" s="13" t="s">
        <v>108</v>
      </c>
      <c r="D7" s="13" t="s">
        <v>36</v>
      </c>
      <c r="E7" s="18" t="n">
        <v>11</v>
      </c>
      <c r="F7" s="6" t="n">
        <f aca="false">IF(A7="","",IFERROR(E7/INDEX(Paramètres!$E$4:$E$7,MATCH(D7,Paramètres!$D$4:$D$7,0)),0))</f>
        <v>11</v>
      </c>
      <c r="G7" s="13" t="s">
        <v>98</v>
      </c>
      <c r="H7" s="13" t="s">
        <v>41</v>
      </c>
      <c r="I7" s="13" t="n">
        <v>15</v>
      </c>
    </row>
    <row r="8" customFormat="false" ht="15" hidden="false" customHeight="false" outlineLevel="0" collapsed="false">
      <c r="A8" s="13"/>
      <c r="B8" s="13"/>
      <c r="C8" s="13"/>
      <c r="D8" s="13"/>
      <c r="E8" s="18"/>
      <c r="F8" s="6" t="str">
        <f aca="false">IF(A8="","",IFERROR(E8/INDEX(Paramètres!$E$4:$E$7,MATCH(D8,Paramètres!$D$4:$D$7,0)),0))</f>
        <v/>
      </c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8"/>
      <c r="F9" s="6" t="str">
        <f aca="false">IF(A9="","",IFERROR(E9/INDEX(Paramètres!$E$4:$E$7,MATCH(D9,Paramètres!$D$4:$D$7,0)),0))</f>
        <v/>
      </c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8"/>
      <c r="F10" s="6" t="str">
        <f aca="false">IF(A10="","",IFERROR(E10/INDEX(Paramètres!$E$4:$E$7,MATCH(D10,Paramètres!$D$4:$D$7,0)),0))</f>
        <v/>
      </c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8"/>
      <c r="F11" s="6" t="str">
        <f aca="false">IF(A11="","",IFERROR(E11/INDEX(Paramètres!$E$4:$E$7,MATCH(D11,Paramètres!$D$4:$D$7,0)),0))</f>
        <v/>
      </c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8"/>
      <c r="F12" s="6" t="str">
        <f aca="false">IF(A12="","",IFERROR(E12/INDEX(Paramètres!$E$4:$E$7,MATCH(D12,Paramètres!$D$4:$D$7,0)),0))</f>
        <v/>
      </c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8"/>
      <c r="F13" s="6" t="str">
        <f aca="false">IF(A13="","",IFERROR(E13/INDEX(Paramètres!$E$4:$E$7,MATCH(D13,Paramètres!$D$4:$D$7,0)),0))</f>
        <v/>
      </c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8"/>
      <c r="F14" s="6" t="str">
        <f aca="false">IF(A14="","",IFERROR(E14/INDEX(Paramètres!$E$4:$E$7,MATCH(D14,Paramètres!$D$4:$D$7,0)),0))</f>
        <v/>
      </c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8"/>
      <c r="F15" s="6" t="str">
        <f aca="false">IF(A15="","",IFERROR(E15/INDEX(Paramètres!$E$4:$E$7,MATCH(D15,Paramètres!$D$4:$D$7,0)),0))</f>
        <v/>
      </c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8"/>
      <c r="F16" s="6" t="str">
        <f aca="false">IF(A16="","",IFERROR(E16/INDEX(Paramètres!$E$4:$E$7,MATCH(D16,Paramètres!$D$4:$D$7,0)),0))</f>
        <v/>
      </c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8"/>
      <c r="F17" s="6" t="str">
        <f aca="false">IF(A17="","",IFERROR(E17/INDEX(Paramètres!$E$4:$E$7,MATCH(D17,Paramètres!$D$4:$D$7,0)),0))</f>
        <v/>
      </c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8"/>
      <c r="F18" s="6" t="str">
        <f aca="false">IF(A18="","",IFERROR(E18/INDEX(Paramètres!$E$4:$E$7,MATCH(D18,Paramètres!$D$4:$D$7,0)),0))</f>
        <v/>
      </c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8"/>
      <c r="F19" s="6" t="str">
        <f aca="false">IF(A19="","",IFERROR(E19/INDEX(Paramètres!$E$4:$E$7,MATCH(D19,Paramètres!$D$4:$D$7,0)),0))</f>
        <v/>
      </c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8"/>
      <c r="F20" s="6" t="str">
        <f aca="false">IF(A20="","",IFERROR(E20/INDEX(Paramètres!$E$4:$E$7,MATCH(D20,Paramètres!$D$4:$D$7,0)),0))</f>
        <v/>
      </c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8"/>
      <c r="F21" s="6" t="str">
        <f aca="false">IF(A21="","",IFERROR(E21/INDEX(Paramètres!$E$4:$E$7,MATCH(D21,Paramètres!$D$4:$D$7,0)),0))</f>
        <v/>
      </c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8"/>
      <c r="F22" s="6" t="str">
        <f aca="false">IF(A22="","",IFERROR(E22/INDEX(Paramètres!$E$4:$E$7,MATCH(D22,Paramètres!$D$4:$D$7,0)),0))</f>
        <v/>
      </c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8"/>
      <c r="F23" s="6" t="str">
        <f aca="false">IF(A23="","",IFERROR(E23/INDEX(Paramètres!$E$4:$E$7,MATCH(D23,Paramètres!$D$4:$D$7,0)),0))</f>
        <v/>
      </c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8"/>
      <c r="F24" s="6" t="str">
        <f aca="false">IF(A24="","",IFERROR(E24/INDEX(Paramètres!$E$4:$E$7,MATCH(D24,Paramètres!$D$4:$D$7,0)),0))</f>
        <v/>
      </c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8"/>
      <c r="F25" s="6" t="str">
        <f aca="false">IF(A25="","",IFERROR(E25/INDEX(Paramètres!$E$4:$E$7,MATCH(D25,Paramètres!$D$4:$D$7,0)),0))</f>
        <v/>
      </c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8"/>
      <c r="F26" s="6" t="str">
        <f aca="false">IF(A26="","",IFERROR(E26/INDEX(Paramètres!$E$4:$E$7,MATCH(D26,Paramètres!$D$4:$D$7,0)),0))</f>
        <v/>
      </c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8"/>
      <c r="F27" s="6" t="str">
        <f aca="false">IF(A27="","",IFERROR(E27/INDEX(Paramètres!$E$4:$E$7,MATCH(D27,Paramètres!$D$4:$D$7,0)),0))</f>
        <v/>
      </c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8"/>
      <c r="F28" s="6" t="str">
        <f aca="false">IF(A28="","",IFERROR(E28/INDEX(Paramètres!$E$4:$E$7,MATCH(D28,Paramètres!$D$4:$D$7,0)),0))</f>
        <v/>
      </c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8"/>
      <c r="F29" s="6" t="str">
        <f aca="false">IF(A29="","",IFERROR(E29/INDEX(Paramètres!$E$4:$E$7,MATCH(D29,Paramètres!$D$4:$D$7,0)),0))</f>
        <v/>
      </c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8"/>
      <c r="F30" s="6" t="str">
        <f aca="false">IF(A30="","",IFERROR(E30/INDEX(Paramètres!$E$4:$E$7,MATCH(D30,Paramètres!$D$4:$D$7,0)),0))</f>
        <v/>
      </c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8"/>
      <c r="F31" s="6" t="str">
        <f aca="false">IF(A31="","",IFERROR(E31/INDEX(Paramètres!$E$4:$E$7,MATCH(D31,Paramètres!$D$4:$D$7,0)),0))</f>
        <v/>
      </c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8"/>
      <c r="F32" s="6" t="str">
        <f aca="false">IF(A32="","",IFERROR(E32/INDEX(Paramètres!$E$4:$E$7,MATCH(D32,Paramètres!$D$4:$D$7,0)),0))</f>
        <v/>
      </c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8"/>
      <c r="F33" s="6" t="str">
        <f aca="false">IF(A33="","",IFERROR(E33/INDEX(Paramètres!$E$4:$E$7,MATCH(D33,Paramètres!$D$4:$D$7,0)),0))</f>
        <v/>
      </c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8"/>
      <c r="F34" s="6" t="str">
        <f aca="false">IF(A34="","",IFERROR(E34/INDEX(Paramètres!$E$4:$E$7,MATCH(D34,Paramètres!$D$4:$D$7,0)),0))</f>
        <v/>
      </c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8"/>
      <c r="F35" s="6" t="str">
        <f aca="false">IF(A35="","",IFERROR(E35/INDEX(Paramètres!$E$4:$E$7,MATCH(D35,Paramètres!$D$4:$D$7,0)),0))</f>
        <v/>
      </c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8"/>
      <c r="F36" s="6" t="str">
        <f aca="false">IF(A36="","",IFERROR(E36/INDEX(Paramètres!$E$4:$E$7,MATCH(D36,Paramètres!$D$4:$D$7,0)),0))</f>
        <v/>
      </c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8"/>
      <c r="F37" s="6" t="str">
        <f aca="false">IF(A37="","",IFERROR(E37/INDEX(Paramètres!$E$4:$E$7,MATCH(D37,Paramètres!$D$4:$D$7,0)),0))</f>
        <v/>
      </c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8"/>
      <c r="F38" s="6" t="str">
        <f aca="false">IF(A38="","",IFERROR(E38/INDEX(Paramètres!$E$4:$E$7,MATCH(D38,Paramètres!$D$4:$D$7,0)),0))</f>
        <v/>
      </c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8"/>
      <c r="F39" s="6" t="str">
        <f aca="false">IF(A39="","",IFERROR(E39/INDEX(Paramètres!$E$4:$E$7,MATCH(D39,Paramètres!$D$4:$D$7,0)),0))</f>
        <v/>
      </c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8"/>
      <c r="F40" s="6" t="str">
        <f aca="false">IF(A40="","",IFERROR(E40/INDEX(Paramètres!$E$4:$E$7,MATCH(D40,Paramètres!$D$4:$D$7,0)),0))</f>
        <v/>
      </c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8"/>
      <c r="F41" s="6" t="str">
        <f aca="false">IF(A41="","",IFERROR(E41/INDEX(Paramètres!$E$4:$E$7,MATCH(D41,Paramètres!$D$4:$D$7,0)),0))</f>
        <v/>
      </c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8"/>
      <c r="F42" s="6" t="str">
        <f aca="false">IF(A42="","",IFERROR(E42/INDEX(Paramètres!$E$4:$E$7,MATCH(D42,Paramètres!$D$4:$D$7,0)),0))</f>
        <v/>
      </c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8"/>
      <c r="F43" s="6" t="str">
        <f aca="false">IF(A43="","",IFERROR(E43/INDEX(Paramètres!$E$4:$E$7,MATCH(D43,Paramètres!$D$4:$D$7,0)),0))</f>
        <v/>
      </c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8"/>
      <c r="F44" s="6" t="str">
        <f aca="false">IF(A44="","",IFERROR(E44/INDEX(Paramètres!$E$4:$E$7,MATCH(D44,Paramètres!$D$4:$D$7,0)),0))</f>
        <v/>
      </c>
      <c r="G44" s="13"/>
      <c r="H44" s="13"/>
      <c r="I44" s="13"/>
    </row>
    <row r="45" customFormat="false" ht="15" hidden="false" customHeight="false" outlineLevel="0" collapsed="false">
      <c r="A45" s="22" t="s">
        <v>135</v>
      </c>
      <c r="F45" s="9" t="n">
        <f aca="false">SUM(F5:F44)</f>
        <v>86</v>
      </c>
    </row>
  </sheetData>
  <dataValidations count="4">
    <dataValidation allowBlank="true" errorStyle="stop" operator="between" showDropDown="false" showErrorMessage="false" showInputMessage="false" sqref="D5:D4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H5:H44" type="list">
      <formula1>Comptes!$A$5:$A$14</formula1>
      <formula2>0</formula2>
    </dataValidation>
    <dataValidation allowBlank="true" errorStyle="stop" operator="between" showDropDown="false" showErrorMessage="false" showInputMessage="false" sqref="G5:G44" type="list">
      <formula1>"Prélèvement,Carte,Chèque,Espèces,Virement"</formula1>
      <formula2>0</formula2>
    </dataValidation>
    <dataValidation allowBlank="true" errorStyle="stop" operator="between" showDropDown="false" showErrorMessage="false" showInputMessage="false" sqref="B5:B44" type="list">
      <formula1>Paramètres!$B$4:$B$5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23" t="s">
        <v>154</v>
      </c>
      <c r="B4" s="6" t="n">
        <f aca="false">SUMIFS(Charges!$F$5:$F$54,Charges!$B$5:$B$54,"Imprévus")</f>
        <v>129</v>
      </c>
    </row>
    <row r="5" customFormat="false" ht="15" hidden="false" customHeight="false" outlineLevel="0" collapsed="false">
      <c r="A5" s="23" t="s">
        <v>155</v>
      </c>
      <c r="B5" s="24" t="n">
        <v>46266</v>
      </c>
    </row>
    <row r="6" customFormat="false" ht="15" hidden="false" customHeight="false" outlineLevel="0" collapsed="false">
      <c r="A6" s="23" t="s">
        <v>156</v>
      </c>
      <c r="B6" s="18" t="n">
        <v>0</v>
      </c>
    </row>
    <row r="7" customFormat="false" ht="15" hidden="false" customHeight="false" outlineLevel="0" collapsed="false">
      <c r="A7" s="23" t="s">
        <v>157</v>
      </c>
      <c r="B7" s="25" t="n">
        <f aca="true">IF(B5="",0,MAX(0,(YEAR(TODAY())-YEAR(B5))*12+MONTH(TODAY())-MONTH(B5)+1))</f>
        <v>2</v>
      </c>
    </row>
    <row r="8" customFormat="false" ht="15" hidden="false" customHeight="false" outlineLevel="0" collapsed="false">
      <c r="A8" s="23" t="s">
        <v>158</v>
      </c>
      <c r="B8" s="6" t="n">
        <f aca="false">B6+B4*B7</f>
        <v>258</v>
      </c>
    </row>
    <row r="9" customFormat="false" ht="15" hidden="false" customHeight="false" outlineLevel="0" collapsed="false">
      <c r="A9" s="23" t="s">
        <v>159</v>
      </c>
      <c r="B9" s="6" t="n">
        <f aca="false">SUM(C13:C62)</f>
        <v>305</v>
      </c>
    </row>
    <row r="10" customFormat="false" ht="15" hidden="false" customHeight="false" outlineLevel="0" collapsed="false">
      <c r="A10" s="12" t="s">
        <v>160</v>
      </c>
      <c r="B10" s="9" t="n">
        <f aca="false">B8-B9</f>
        <v>-47</v>
      </c>
    </row>
    <row r="11" customFormat="false" ht="15" hidden="false" customHeight="false" outlineLevel="0" collapsed="false">
      <c r="A11" s="2" t="s">
        <v>161</v>
      </c>
    </row>
    <row r="12" customFormat="false" ht="42" hidden="false" customHeight="true" outlineLevel="0" collapsed="false">
      <c r="A12" s="4" t="s">
        <v>162</v>
      </c>
      <c r="B12" s="4" t="s">
        <v>85</v>
      </c>
      <c r="C12" s="4" t="s">
        <v>163</v>
      </c>
      <c r="D12" s="4" t="s">
        <v>164</v>
      </c>
    </row>
    <row r="13" customFormat="false" ht="15" hidden="false" customHeight="false" outlineLevel="0" collapsed="false">
      <c r="A13" s="24" t="n">
        <v>46285</v>
      </c>
      <c r="B13" s="13" t="s">
        <v>165</v>
      </c>
      <c r="C13" s="18" t="n">
        <v>220</v>
      </c>
      <c r="D13" s="13" t="s">
        <v>81</v>
      </c>
    </row>
    <row r="14" customFormat="false" ht="15" hidden="false" customHeight="false" outlineLevel="0" collapsed="false">
      <c r="A14" s="24" t="n">
        <v>46300</v>
      </c>
      <c r="B14" s="13" t="s">
        <v>166</v>
      </c>
      <c r="C14" s="18" t="n">
        <v>85</v>
      </c>
      <c r="D14" s="13" t="s">
        <v>81</v>
      </c>
    </row>
    <row r="15" customFormat="false" ht="15" hidden="false" customHeight="false" outlineLevel="0" collapsed="false">
      <c r="A15" s="24"/>
      <c r="B15" s="13"/>
      <c r="C15" s="18"/>
      <c r="D15" s="13"/>
    </row>
    <row r="16" customFormat="false" ht="15" hidden="false" customHeight="false" outlineLevel="0" collapsed="false">
      <c r="A16" s="24"/>
      <c r="B16" s="13"/>
      <c r="C16" s="18"/>
      <c r="D16" s="13"/>
    </row>
    <row r="17" customFormat="false" ht="15" hidden="false" customHeight="false" outlineLevel="0" collapsed="false">
      <c r="A17" s="24"/>
      <c r="B17" s="13"/>
      <c r="C17" s="18"/>
      <c r="D17" s="13"/>
    </row>
    <row r="18" customFormat="false" ht="15" hidden="false" customHeight="false" outlineLevel="0" collapsed="false">
      <c r="A18" s="24"/>
      <c r="B18" s="13"/>
      <c r="C18" s="18"/>
      <c r="D18" s="13"/>
    </row>
    <row r="19" customFormat="false" ht="15" hidden="false" customHeight="false" outlineLevel="0" collapsed="false">
      <c r="A19" s="24"/>
      <c r="B19" s="13"/>
      <c r="C19" s="18"/>
      <c r="D19" s="13"/>
    </row>
    <row r="20" customFormat="false" ht="15" hidden="false" customHeight="false" outlineLevel="0" collapsed="false">
      <c r="A20" s="24"/>
      <c r="B20" s="13"/>
      <c r="C20" s="18"/>
      <c r="D20" s="13"/>
    </row>
    <row r="21" customFormat="false" ht="15" hidden="false" customHeight="false" outlineLevel="0" collapsed="false">
      <c r="A21" s="24"/>
      <c r="B21" s="13"/>
      <c r="C21" s="18"/>
      <c r="D21" s="13"/>
    </row>
    <row r="22" customFormat="false" ht="15" hidden="false" customHeight="false" outlineLevel="0" collapsed="false">
      <c r="A22" s="24"/>
      <c r="B22" s="13"/>
      <c r="C22" s="18"/>
      <c r="D22" s="13"/>
    </row>
    <row r="23" customFormat="false" ht="15" hidden="false" customHeight="false" outlineLevel="0" collapsed="false">
      <c r="A23" s="24"/>
      <c r="B23" s="13"/>
      <c r="C23" s="18"/>
      <c r="D23" s="13"/>
    </row>
    <row r="24" customFormat="false" ht="15" hidden="false" customHeight="false" outlineLevel="0" collapsed="false">
      <c r="A24" s="24"/>
      <c r="B24" s="13"/>
      <c r="C24" s="18"/>
      <c r="D24" s="13"/>
    </row>
    <row r="25" customFormat="false" ht="15" hidden="false" customHeight="false" outlineLevel="0" collapsed="false">
      <c r="A25" s="24"/>
      <c r="B25" s="13"/>
      <c r="C25" s="18"/>
      <c r="D25" s="13"/>
    </row>
    <row r="26" customFormat="false" ht="15" hidden="false" customHeight="false" outlineLevel="0" collapsed="false">
      <c r="A26" s="24"/>
      <c r="B26" s="13"/>
      <c r="C26" s="18"/>
      <c r="D26" s="13"/>
    </row>
    <row r="27" customFormat="false" ht="15" hidden="false" customHeight="false" outlineLevel="0" collapsed="false">
      <c r="A27" s="24"/>
      <c r="B27" s="13"/>
      <c r="C27" s="18"/>
      <c r="D27" s="13"/>
    </row>
    <row r="28" customFormat="false" ht="15" hidden="false" customHeight="false" outlineLevel="0" collapsed="false">
      <c r="A28" s="24"/>
      <c r="B28" s="13"/>
      <c r="C28" s="18"/>
      <c r="D28" s="13"/>
    </row>
    <row r="29" customFormat="false" ht="15" hidden="false" customHeight="false" outlineLevel="0" collapsed="false">
      <c r="A29" s="24"/>
      <c r="B29" s="13"/>
      <c r="C29" s="18"/>
      <c r="D29" s="13"/>
    </row>
    <row r="30" customFormat="false" ht="15" hidden="false" customHeight="false" outlineLevel="0" collapsed="false">
      <c r="A30" s="24"/>
      <c r="B30" s="13"/>
      <c r="C30" s="18"/>
      <c r="D30" s="13"/>
    </row>
    <row r="31" customFormat="false" ht="15" hidden="false" customHeight="false" outlineLevel="0" collapsed="false">
      <c r="A31" s="24"/>
      <c r="B31" s="13"/>
      <c r="C31" s="18"/>
      <c r="D31" s="13"/>
    </row>
    <row r="32" customFormat="false" ht="15" hidden="false" customHeight="false" outlineLevel="0" collapsed="false">
      <c r="A32" s="24"/>
      <c r="B32" s="13"/>
      <c r="C32" s="18"/>
      <c r="D32" s="13"/>
    </row>
    <row r="33" customFormat="false" ht="15" hidden="false" customHeight="false" outlineLevel="0" collapsed="false">
      <c r="A33" s="24"/>
      <c r="B33" s="13"/>
      <c r="C33" s="18"/>
      <c r="D33" s="13"/>
    </row>
    <row r="34" customFormat="false" ht="15" hidden="false" customHeight="false" outlineLevel="0" collapsed="false">
      <c r="A34" s="24"/>
      <c r="B34" s="13"/>
      <c r="C34" s="18"/>
      <c r="D34" s="13"/>
    </row>
    <row r="35" customFormat="false" ht="15" hidden="false" customHeight="false" outlineLevel="0" collapsed="false">
      <c r="A35" s="24"/>
      <c r="B35" s="13"/>
      <c r="C35" s="18"/>
      <c r="D35" s="13"/>
    </row>
    <row r="36" customFormat="false" ht="15" hidden="false" customHeight="false" outlineLevel="0" collapsed="false">
      <c r="A36" s="24"/>
      <c r="B36" s="13"/>
      <c r="C36" s="18"/>
      <c r="D36" s="13"/>
    </row>
    <row r="37" customFormat="false" ht="15" hidden="false" customHeight="false" outlineLevel="0" collapsed="false">
      <c r="A37" s="24"/>
      <c r="B37" s="13"/>
      <c r="C37" s="18"/>
      <c r="D37" s="13"/>
    </row>
    <row r="38" customFormat="false" ht="15" hidden="false" customHeight="false" outlineLevel="0" collapsed="false">
      <c r="A38" s="24"/>
      <c r="B38" s="13"/>
      <c r="C38" s="18"/>
      <c r="D38" s="13"/>
    </row>
    <row r="39" customFormat="false" ht="15" hidden="false" customHeight="false" outlineLevel="0" collapsed="false">
      <c r="A39" s="24"/>
      <c r="B39" s="13"/>
      <c r="C39" s="18"/>
      <c r="D39" s="13"/>
    </row>
    <row r="40" customFormat="false" ht="15" hidden="false" customHeight="false" outlineLevel="0" collapsed="false">
      <c r="A40" s="24"/>
      <c r="B40" s="13"/>
      <c r="C40" s="18"/>
      <c r="D40" s="13"/>
    </row>
    <row r="41" customFormat="false" ht="15" hidden="false" customHeight="false" outlineLevel="0" collapsed="false">
      <c r="A41" s="24"/>
      <c r="B41" s="13"/>
      <c r="C41" s="18"/>
      <c r="D41" s="13"/>
    </row>
    <row r="42" customFormat="false" ht="15" hidden="false" customHeight="false" outlineLevel="0" collapsed="false">
      <c r="A42" s="24"/>
      <c r="B42" s="13"/>
      <c r="C42" s="18"/>
      <c r="D42" s="13"/>
    </row>
    <row r="43" customFormat="false" ht="15" hidden="false" customHeight="false" outlineLevel="0" collapsed="false">
      <c r="A43" s="24"/>
      <c r="B43" s="13"/>
      <c r="C43" s="18"/>
      <c r="D43" s="13"/>
    </row>
    <row r="44" customFormat="false" ht="15" hidden="false" customHeight="false" outlineLevel="0" collapsed="false">
      <c r="A44" s="24"/>
      <c r="B44" s="13"/>
      <c r="C44" s="18"/>
      <c r="D44" s="13"/>
    </row>
    <row r="45" customFormat="false" ht="15" hidden="false" customHeight="false" outlineLevel="0" collapsed="false">
      <c r="A45" s="24"/>
      <c r="B45" s="13"/>
      <c r="C45" s="18"/>
      <c r="D45" s="13"/>
    </row>
    <row r="46" customFormat="false" ht="15" hidden="false" customHeight="false" outlineLevel="0" collapsed="false">
      <c r="A46" s="24"/>
      <c r="B46" s="13"/>
      <c r="C46" s="18"/>
      <c r="D46" s="13"/>
    </row>
    <row r="47" customFormat="false" ht="15" hidden="false" customHeight="false" outlineLevel="0" collapsed="false">
      <c r="A47" s="24"/>
      <c r="B47" s="13"/>
      <c r="C47" s="18"/>
      <c r="D47" s="13"/>
    </row>
    <row r="48" customFormat="false" ht="15" hidden="false" customHeight="false" outlineLevel="0" collapsed="false">
      <c r="A48" s="24"/>
      <c r="B48" s="13"/>
      <c r="C48" s="18"/>
      <c r="D48" s="13"/>
    </row>
    <row r="49" customFormat="false" ht="15" hidden="false" customHeight="false" outlineLevel="0" collapsed="false">
      <c r="A49" s="24"/>
      <c r="B49" s="13"/>
      <c r="C49" s="18"/>
      <c r="D49" s="13"/>
    </row>
    <row r="50" customFormat="false" ht="15" hidden="false" customHeight="false" outlineLevel="0" collapsed="false">
      <c r="A50" s="24"/>
      <c r="B50" s="13"/>
      <c r="C50" s="18"/>
      <c r="D50" s="13"/>
    </row>
    <row r="51" customFormat="false" ht="15" hidden="false" customHeight="false" outlineLevel="0" collapsed="false">
      <c r="A51" s="24"/>
      <c r="B51" s="13"/>
      <c r="C51" s="18"/>
      <c r="D51" s="13"/>
    </row>
    <row r="52" customFormat="false" ht="15" hidden="false" customHeight="false" outlineLevel="0" collapsed="false">
      <c r="A52" s="24"/>
      <c r="B52" s="13"/>
      <c r="C52" s="18"/>
      <c r="D52" s="13"/>
    </row>
    <row r="53" customFormat="false" ht="15" hidden="false" customHeight="false" outlineLevel="0" collapsed="false">
      <c r="A53" s="24"/>
      <c r="B53" s="13"/>
      <c r="C53" s="18"/>
      <c r="D53" s="13"/>
    </row>
    <row r="54" customFormat="false" ht="15" hidden="false" customHeight="false" outlineLevel="0" collapsed="false">
      <c r="A54" s="24"/>
      <c r="B54" s="13"/>
      <c r="C54" s="18"/>
      <c r="D54" s="13"/>
    </row>
    <row r="55" customFormat="false" ht="15" hidden="false" customHeight="false" outlineLevel="0" collapsed="false">
      <c r="A55" s="24"/>
      <c r="B55" s="13"/>
      <c r="C55" s="18"/>
      <c r="D55" s="13"/>
    </row>
    <row r="56" customFormat="false" ht="15" hidden="false" customHeight="false" outlineLevel="0" collapsed="false">
      <c r="A56" s="24"/>
      <c r="B56" s="13"/>
      <c r="C56" s="18"/>
      <c r="D56" s="13"/>
    </row>
    <row r="57" customFormat="false" ht="15" hidden="false" customHeight="false" outlineLevel="0" collapsed="false">
      <c r="A57" s="24"/>
      <c r="B57" s="13"/>
      <c r="C57" s="18"/>
      <c r="D57" s="13"/>
    </row>
    <row r="58" customFormat="false" ht="15" hidden="false" customHeight="false" outlineLevel="0" collapsed="false">
      <c r="A58" s="24"/>
      <c r="B58" s="13"/>
      <c r="C58" s="18"/>
      <c r="D58" s="13"/>
    </row>
    <row r="59" customFormat="false" ht="15" hidden="false" customHeight="false" outlineLevel="0" collapsed="false">
      <c r="A59" s="24"/>
      <c r="B59" s="13"/>
      <c r="C59" s="18"/>
      <c r="D59" s="13"/>
    </row>
    <row r="60" customFormat="false" ht="15" hidden="false" customHeight="false" outlineLevel="0" collapsed="false">
      <c r="A60" s="24"/>
      <c r="B60" s="13"/>
      <c r="C60" s="18"/>
      <c r="D60" s="13"/>
    </row>
    <row r="61" customFormat="false" ht="15" hidden="false" customHeight="false" outlineLevel="0" collapsed="false">
      <c r="A61" s="24"/>
      <c r="B61" s="13"/>
      <c r="C61" s="18"/>
      <c r="D61" s="13"/>
    </row>
    <row r="62" customFormat="false" ht="15" hidden="false" customHeight="false" outlineLevel="0" collapsed="false">
      <c r="A62" s="24"/>
      <c r="B62" s="13"/>
      <c r="C62" s="18"/>
      <c r="D62" s="13"/>
    </row>
  </sheetData>
  <dataValidations count="1">
    <dataValidation allowBlank="true" errorStyle="stop" operator="between" showDropDown="false" showErrorMessage="false" showInputMessage="false" sqref="D13:D62" type="list">
      <formula1>Comptes!$A$5:$A$14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2026-10-27T16:22:01Z</dcterms:created>
  <dc:creator>openpyxl</dc:creator>
  <dc:description/>
  <dc:language>en-US</dc:language>
  <cp:lastModifiedBy/>
  <dcterms:modified xsi:type="dcterms:W3CDTF">2026-10-27T16:22:01Z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