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<sst xmlns="http://schemas.openxmlformats.org/spreadsheetml/2006/main" count="347" uniqueCount="178">
  <si>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</si>
  <si>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</si>
  <si>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</si>
  <si>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</si>
  <si>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</si>
  <si>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</si>
  <si>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</si>
  <si>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</si>
  <si>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</si>
  <si>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</si>
  <si>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</si>
  <si>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</si>
  <si>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</si>
  <si>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</si>
  <si>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</si>
  <si>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</si>
  <si>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</si>
  <si>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</si>
  <si>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</si>
  <si>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</si>
  <si>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</si>
  <si>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</si>
  <si>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</si>
  <si>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</si>
  <si>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</si>
  <si>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</si>
  <si>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</si>
  <si>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</si>
  <si>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</si>
  <si>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</si>
  <si>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</si>
  <si>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</si>
  <si>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</si>
  <si>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</si>
  <si>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</si>
  <si>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</si>
  <si>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</si>
  <si>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</si>
  <si>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</si>
  <si>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</si>
  <si>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</si>
  <si>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</si>
  <si>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</si>
  <si>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</si>
  <si>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</si>
  <si>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</si>
  <si>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</si>
  <si>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</si>
  <si>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</si>
  <si>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</si>
  <si>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</si>
  <si>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</si>
  <si>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</si>
  <si>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</si>
  <si>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</si>
  <si>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</si>
  <si>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</si>
  <si>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</si>
  <si>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</si>
  <si>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</si>
  <si>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</si>
  <si>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</si>
  <si>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Version du modèle</t>
  </si>
  <si>
    <t xml:space="preserve">1.0.0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</si>
  <si>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</si>
  <si>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</si>
  <si>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</si>
  <si>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</si>
  <si>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</si>
  <si>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</si>
  <si>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</si>
  <si>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</si>
  <si>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</si>
  <si>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</si>
  <si>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</si>
  <si>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</si>
  <si>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</si>
  <si>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</si>
  <si>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</si>
  <si>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</si>
  <si>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</si>
  <si>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</si>
  <si>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</si>
  <si>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</si>
  <si>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</si>
  <si>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</si>
  <si>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Livret enfant 1</t>
  </si>
  <si>
    <t xml:space="preserve">Enfant 1</t>
  </si>
  <si>
    <t xml:space="preserve">Épargne de l'enfant 1</t>
  </si>
  <si>
    <t xml:space="preserve">Livret enfant 2</t>
  </si>
  <si>
    <t xml:space="preserve">Enfant 2</t>
  </si>
  <si>
    <t xml:space="preserve">Épargne de l'enfant 2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</si>
  <si>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</si>
  <si>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</si>
  <si>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</si>
  <si>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</si>
  <si>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</si>
  <si>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</si>
  <si>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</si>
  <si>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</si>
  <si>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</si>
  <si>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</si>
  <si>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</si>
  <si>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</si>
  <si>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</si>
  <si>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</si>
  <si>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</si>
  <si>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</si>
  <si>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</si>
  <si>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</si>
  <si>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</si>
  <si>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</si>
  <si>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maison</t>
  </si>
  <si>
    <t xml:space="preserve">Énergie</t>
  </si>
  <si>
    <t xml:space="preserve">Variable</t>
  </si>
  <si>
    <t xml:space="preserve">Électricité garage / local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</si>
  <si>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</si>
  <si>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</si>
  <si>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</si>
  <si>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</si>
  <si>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</si>
  <si>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</si>
  <si>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</si>
  <si>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</si>
  <si>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</si>
  <si>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</si>
  <si>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</si>
  <si>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</si>
  <si>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</si>
  <si>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</si>
  <si>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</si>
  <si>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</si>
  <si>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</si>
  <si>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</si>
  <si>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</si>
  <si>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</si>
  <si>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</si>
  <si>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</si>
  <si>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</si>
  <si>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Épargne enfant 1</t>
  </si>
  <si>
    <t xml:space="preserve">Épargne enfant 2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</si>
  <si>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</si>
  <si>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</si>
  <si>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</si>
  <si>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</si>
  <si>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</si>
  <si>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</si>
  <si>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</si>
  <si>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</si>
  <si>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</si>
  <si>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</si>
  <si>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</si>
  <si>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</si>
  <si>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</si>
  <si>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</si>
  <si>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</si>
  <si>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</si>
  <si>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</si>
  <si>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</si>
  <si>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</si>
  <si>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</si>
  <si>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</si>
  <si>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</si>
  <si>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</si>
  <si>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</si>
  <si>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(ligne « Imprévus » de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</si>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</sst>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1474.68520665978</v>
      </c>
      <c r="D5" s="6" t="n">
        <f aca="false">IF(Paramètres!$B$6="",0,IFERROR(INDEX($C$13:$C$22,MATCH(Paramètres!$B$6,$A$13:$A$22,0)),0))</f>
        <v>0</v>
      </c>
      <c r="E5" s="6" t="n">
        <f aca="false">C5+D5</f>
        <v>1474.68520665978</v>
      </c>
      <c r="F5" s="7" t="n">
        <f aca="false">IF(B5=0,0,E5/B5)</f>
        <v>0.614452169441575</v>
      </c>
      <c r="G5" s="6" t="n">
        <f aca="false">IF(Paramètres!$B$6="",0,IFERROR(INDEX($J$13:$J$22,MATCH(Paramètres!$B$6,$A$13:$A$22,0)),0))</f>
        <v>925.314793340221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839.314793340221</v>
      </c>
      <c r="J5" s="6" t="n">
        <f aca="false">MAX(0,IF(Paramètres!B$17="Pourcentage",Paramètres!B$18*MAX(0,I5),Paramètres!B$19))</f>
        <v>251.794438002066</v>
      </c>
      <c r="K5" s="6" t="n">
        <f aca="false">I5-J5</f>
        <v>587.520355338154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1269.31479334022</v>
      </c>
      <c r="D6" s="6" t="n">
        <f aca="false">IF(Paramètres!$B$7="",0,IFERROR(INDEX($C$13:$C$22,MATCH(Paramètres!$B$7,$A$13:$A$22,0)),0))</f>
        <v>28</v>
      </c>
      <c r="E6" s="6" t="n">
        <f aca="false">C6+D6</f>
        <v>1297.31479334022</v>
      </c>
      <c r="F6" s="7" t="n">
        <f aca="false">IF(B6=0,0,E6/B6)</f>
        <v>0.682797259652748</v>
      </c>
      <c r="G6" s="6" t="n">
        <f aca="false">IF(Paramètres!$B$7="",0,IFERROR(INDEX($J$13:$J$22,MATCH(Paramètres!$B$7,$A$13:$A$22,0)),0))</f>
        <v>602.685206659779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252.685206659779</v>
      </c>
      <c r="J6" s="6" t="n">
        <f aca="false">MAX(0,IF(Paramètres!C$17="Pourcentage",Paramètres!C$18*MAX(0,I6),Paramètres!C$19))</f>
        <v>200</v>
      </c>
      <c r="K6" s="6" t="n">
        <f aca="false">I6-J6</f>
        <v>52.6852066597792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2744</v>
      </c>
      <c r="D7" s="9" t="n">
        <f aca="false">SUM(D5:D6)</f>
        <v>28</v>
      </c>
      <c r="E7" s="9" t="n">
        <f aca="false">SUM(E5:E6)</f>
        <v>2772</v>
      </c>
      <c r="F7" s="10" t="n">
        <f aca="false">IF(B7=0,0,E7/B7)</f>
        <v>0.644651162790698</v>
      </c>
      <c r="G7" s="9" t="n">
        <f aca="false">SUM(G5:G6)</f>
        <v>1528</v>
      </c>
      <c r="H7" s="9" t="n">
        <f aca="false">SUM(H5:H6)</f>
        <v>436</v>
      </c>
      <c r="I7" s="9" t="n">
        <f aca="false">SUM(I5:I6)</f>
        <v>1092</v>
      </c>
      <c r="J7" s="9" t="n">
        <f aca="false">SUM(J5:J6)</f>
        <v>451.794438002066</v>
      </c>
      <c r="K7" s="9" t="n">
        <f aca="false">SUM(K5:K6)</f>
        <v>640.205561997934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1474.68520665978</v>
      </c>
      <c r="J13" s="6" t="n">
        <f aca="false">IF($A13="","",G13+D13+H13+IF(B13="Joint",E13+F13,0)-C13-I13)</f>
        <v>925.314793340221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1269.31479334022</v>
      </c>
      <c r="J14" s="6" t="n">
        <f aca="false">IF($A14="","",G14+D14+H14+IF(B14="Joint",E14+F14,0)-C14-I14)</f>
        <v>602.685206659779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1470.66666666667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649.85962526443</v>
      </c>
      <c r="F16" s="11" t="n">
        <f aca="false">IF($A16="","",IF($B16="Joint",IF($C16=0,0,($C16-$D16)*SUMIFS(Charges!$N$5:$N$54,Charges!$H$5:$H$54,$A16)/$C16),0))</f>
        <v>590.807041402236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70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35</v>
      </c>
      <c r="F17" s="11" t="n">
        <f aca="false">IF($A17="","",IF($B17="Joint",IF($C17=0,0,($C17-$D17)*SUMIFS(Charges!$N$5:$N$54,Charges!$H$5:$H$54,$A17)/$C17),0))</f>
        <v>35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>Livret enfant 1</v>
      </c>
      <c r="B20" s="5" t="str">
        <f aca="false">IF($A20="","",Comptes!B12)</f>
        <v>Épargne</v>
      </c>
      <c r="C20" s="6" t="n">
        <f aca="false">IF($A20="","",SUMIFS(Charges!$F$5:$F$54,Charges!$H$5:$H$54,$A20))</f>
        <v>0</v>
      </c>
      <c r="D20" s="6" t="n">
        <f aca="false">IF($A20="","",SUMIFS(Revenus!$F$5:$F$24,Revenus!$G$5:$G$24,$A20,Revenus!$B$5:$B$24,"&lt;&gt;Salaire"))</f>
        <v>0</v>
      </c>
      <c r="E20" s="11" t="n">
        <f aca="false">IF($A20="","",IF($B20="Joint",IF($C20=0,0,($C20-$D20)*SUMIFS(Charges!$M$5:$M$54,Charges!$H$5:$H$54,$A20)/$C20),0))</f>
        <v>0</v>
      </c>
      <c r="F20" s="11" t="n">
        <f aca="false">IF($A20="","",IF($B20="Joint",IF($C20=0,0,($C20-$D20)*SUMIFS(Charges!$N$5:$N$54,Charges!$H$5:$H$54,$A20)/$C20),0))</f>
        <v>0</v>
      </c>
      <c r="G20" s="6" t="n">
        <f aca="false">IF($A20="","",SUMIFS(Revenus!$F$5:$F$24,Revenus!$G$5:$G$24,$A20,Revenus!$B$5:$B$24,"Salaire"))</f>
        <v>0</v>
      </c>
      <c r="H20" s="6" t="n">
        <f aca="false">IF($A20="","",SUMIFS(Charges!$F$5:$F$54,Charges!$I$5:$I$54,$A20,Charges!$G$5:$G$54,"Virement"))</f>
        <v>50</v>
      </c>
      <c r="I20" s="6" t="n">
        <f aca="false">IF($A20="","",IF($A20=Paramètres!$B$6,SUM($E$13:$E$22),IF($A20=Paramètres!$B$7,SUM($F$13:$F$22),0)))</f>
        <v>0</v>
      </c>
      <c r="J20" s="6" t="n">
        <f aca="false">IF($A20="","",G20+D20+H20+IF(B20="Joint",E20+F20,0)-C20-I20)</f>
        <v>50</v>
      </c>
    </row>
    <row r="21" customFormat="false" ht="15" hidden="false" customHeight="false" outlineLevel="0" collapsed="false">
      <c r="A21" s="5" t="str">
        <f aca="false">IF(Comptes!A13="","",Comptes!A13)</f>
        <v>Livret enfant 2</v>
      </c>
      <c r="B21" s="5" t="str">
        <f aca="false">IF($A21="","",Comptes!B13)</f>
        <v>Épargne</v>
      </c>
      <c r="C21" s="6" t="n">
        <f aca="false">IF($A21="","",SUMIFS(Charges!$F$5:$F$54,Charges!$H$5:$H$54,$A21))</f>
        <v>0</v>
      </c>
      <c r="D21" s="6" t="n">
        <f aca="false">IF($A21="","",SUMIFS(Revenus!$F$5:$F$24,Revenus!$G$5:$G$24,$A21,Revenus!$B$5:$B$24,"&lt;&gt;Salaire"))</f>
        <v>0</v>
      </c>
      <c r="E21" s="11" t="n">
        <f aca="false">IF($A21="","",IF($B21="Joint",IF($C21=0,0,($C21-$D21)*SUMIFS(Charges!$M$5:$M$54,Charges!$H$5:$H$54,$A21)/$C21),0))</f>
        <v>0</v>
      </c>
      <c r="F21" s="11" t="n">
        <f aca="false">IF($A21="","",IF($B21="Joint",IF($C21=0,0,($C21-$D21)*SUMIFS(Charges!$N$5:$N$54,Charges!$H$5:$H$54,$A21)/$C21),0))</f>
        <v>0</v>
      </c>
      <c r="G21" s="6" t="n">
        <f aca="false">IF($A21="","",SUMIFS(Revenus!$F$5:$F$24,Revenus!$G$5:$G$24,$A21,Revenus!$B$5:$B$24,"Salaire"))</f>
        <v>0</v>
      </c>
      <c r="H21" s="6" t="n">
        <f aca="false">IF($A21="","",SUMIFS(Charges!$F$5:$F$54,Charges!$I$5:$I$54,$A21,Charges!$G$5:$G$54,"Virement"))</f>
        <v>50</v>
      </c>
      <c r="I21" s="6" t="n">
        <f aca="false">IF($A21="","",IF($A21=Paramètres!$B$6,SUM($E$13:$E$22),IF($A21=Paramètres!$B$7,SUM($F$13:$F$22),0)))</f>
        <v>0</v>
      </c>
      <c r="J21" s="6" t="n">
        <f aca="false">IF($A21="","",G21+D21+H21+IF(B21="Joint",E21+F21,0)-C21-I21)</f>
        <v>50</v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3002</v>
      </c>
      <c r="D23" s="9" t="n">
        <f aca="false">SUM(D13:D22)</f>
        <v>230</v>
      </c>
      <c r="E23" s="9" t="n">
        <f aca="false">SUM(E13:E22)</f>
        <v>1474.68520665978</v>
      </c>
      <c r="F23" s="9" t="n">
        <f aca="false">SUM(F13:F22)</f>
        <v>1269.31479334022</v>
      </c>
      <c r="G23" s="9" t="n">
        <f aca="false">SUM(G13:G22)</f>
        <v>4300</v>
      </c>
      <c r="H23" s="9" t="n">
        <f aca="false">SUM(H13:H22)</f>
        <v>379</v>
      </c>
      <c r="I23" s="9" t="n">
        <f aca="false">SUM(I13:I22)</f>
        <v>2744</v>
      </c>
      <c r="J23" s="9" t="n">
        <f aca="false">SUM(J13:J22)</f>
        <v>1907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1831.33333333333</v>
      </c>
      <c r="C28" s="7" t="n">
        <f aca="false">IF($B$30=0,0,B28/$B$30)</f>
        <v>0.610037752609372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1170.66666666667</v>
      </c>
      <c r="C29" s="7" t="n">
        <f aca="false">IF($B$30=0,0,B29/$B$30)</f>
        <v>0.389962247390629</v>
      </c>
    </row>
    <row r="30" customFormat="false" ht="15" hidden="false" customHeight="false" outlineLevel="0" collapsed="false">
      <c r="A30" s="8" t="s">
        <v>25</v>
      </c>
      <c r="B30" s="9" t="n">
        <f aca="false">B28+B29</f>
        <v>3002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  <row r="25" customFormat="false" ht="15" hidden="false" customHeight="false" outlineLevel="0" collapsed="false">
      <c r="A25" s="12" t="s">
        <v>62</v>
      </c>
      <c r="B25" s="5" t="s">
        <v>63</v>
      </c>
    </row>
    <row r="26" customFormat="false" ht="15" hidden="false" customHeight="false" outlineLevel="0" collapsed="false">
      <c r="A26" s="2" t="s">
        <v>64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42" hidden="false" customHeight="true" outlineLevel="0" collapsed="false">
      <c r="A4" s="4" t="s">
        <v>67</v>
      </c>
      <c r="B4" s="4" t="s">
        <v>18</v>
      </c>
      <c r="C4" s="4" t="s">
        <v>68</v>
      </c>
      <c r="D4" s="4" t="s">
        <v>69</v>
      </c>
    </row>
    <row r="5" customFormat="false" ht="15" hidden="false" customHeight="false" outlineLevel="0" collapsed="false">
      <c r="A5" s="13" t="s">
        <v>41</v>
      </c>
      <c r="B5" s="13" t="s">
        <v>70</v>
      </c>
      <c r="C5" s="13" t="s">
        <v>35</v>
      </c>
      <c r="D5" s="13" t="s">
        <v>71</v>
      </c>
    </row>
    <row r="6" customFormat="false" ht="15" hidden="false" customHeight="false" outlineLevel="0" collapsed="false">
      <c r="A6" s="13" t="s">
        <v>44</v>
      </c>
      <c r="B6" s="13" t="s">
        <v>70</v>
      </c>
      <c r="C6" s="13" t="s">
        <v>38</v>
      </c>
      <c r="D6" s="13" t="s">
        <v>72</v>
      </c>
    </row>
    <row r="7" customFormat="false" ht="15" hidden="false" customHeight="false" outlineLevel="0" collapsed="false">
      <c r="A7" s="13" t="s">
        <v>73</v>
      </c>
      <c r="B7" s="13" t="s">
        <v>74</v>
      </c>
      <c r="C7" s="13" t="s">
        <v>75</v>
      </c>
      <c r="D7" s="13" t="s">
        <v>76</v>
      </c>
    </row>
    <row r="8" customFormat="false" ht="15" hidden="false" customHeight="false" outlineLevel="0" collapsed="false">
      <c r="A8" s="13" t="s">
        <v>77</v>
      </c>
      <c r="B8" s="13" t="s">
        <v>74</v>
      </c>
      <c r="C8" s="13" t="s">
        <v>75</v>
      </c>
      <c r="D8" s="13" t="s">
        <v>78</v>
      </c>
    </row>
    <row r="9" customFormat="false" ht="15" hidden="false" customHeight="false" outlineLevel="0" collapsed="false">
      <c r="A9" s="13" t="s">
        <v>79</v>
      </c>
      <c r="B9" s="13" t="s">
        <v>74</v>
      </c>
      <c r="C9" s="13" t="s">
        <v>75</v>
      </c>
      <c r="D9" s="13" t="s">
        <v>80</v>
      </c>
    </row>
    <row r="10" customFormat="false" ht="15" hidden="false" customHeight="false" outlineLevel="0" collapsed="false">
      <c r="A10" s="13" t="s">
        <v>81</v>
      </c>
      <c r="B10" s="13" t="s">
        <v>82</v>
      </c>
      <c r="C10" s="13" t="s">
        <v>75</v>
      </c>
      <c r="D10" s="13" t="s">
        <v>83</v>
      </c>
    </row>
    <row r="11" customFormat="false" ht="15" hidden="false" customHeight="false" outlineLevel="0" collapsed="false">
      <c r="A11" s="13" t="s">
        <v>84</v>
      </c>
      <c r="B11" s="13" t="s">
        <v>82</v>
      </c>
      <c r="C11" s="13" t="s">
        <v>75</v>
      </c>
      <c r="D11" s="13" t="s">
        <v>85</v>
      </c>
    </row>
    <row r="12" customFormat="false" ht="15" hidden="false" customHeight="false" outlineLevel="0" collapsed="false">
      <c r="A12" s="13" t="s">
        <v>86</v>
      </c>
      <c r="B12" s="13" t="s">
        <v>82</v>
      </c>
      <c r="C12" s="13" t="s">
        <v>87</v>
      </c>
      <c r="D12" s="13" t="s">
        <v>88</v>
      </c>
    </row>
    <row r="13" customFormat="false" ht="15" hidden="false" customHeight="false" outlineLevel="0" collapsed="false">
      <c r="A13" s="13" t="s">
        <v>89</v>
      </c>
      <c r="B13" s="13" t="s">
        <v>82</v>
      </c>
      <c r="C13" s="13" t="s">
        <v>90</v>
      </c>
      <c r="D13" s="13" t="s">
        <v>91</v>
      </c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42" hidden="false" customHeight="true" outlineLevel="0" collapsed="false">
      <c r="A4" s="4" t="s">
        <v>94</v>
      </c>
      <c r="B4" s="4" t="s">
        <v>95</v>
      </c>
      <c r="C4" s="4" t="s">
        <v>96</v>
      </c>
      <c r="D4" s="4" t="s">
        <v>32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105</v>
      </c>
      <c r="B5" s="13" t="s">
        <v>106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107</v>
      </c>
      <c r="H5" s="13" t="s">
        <v>73</v>
      </c>
      <c r="I5" s="13"/>
      <c r="J5" s="13" t="n">
        <v>5</v>
      </c>
      <c r="K5" s="13" t="s">
        <v>108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109</v>
      </c>
      <c r="B6" s="13" t="s">
        <v>106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107</v>
      </c>
      <c r="H6" s="13" t="s">
        <v>73</v>
      </c>
      <c r="I6" s="13"/>
      <c r="J6" s="13" t="n">
        <v>5</v>
      </c>
      <c r="K6" s="13" t="s">
        <v>110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111</v>
      </c>
      <c r="B7" s="13" t="s">
        <v>106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107</v>
      </c>
      <c r="H7" s="13" t="s">
        <v>73</v>
      </c>
      <c r="I7" s="13"/>
      <c r="J7" s="13" t="n">
        <v>15</v>
      </c>
      <c r="K7" s="13" t="s">
        <v>108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112</v>
      </c>
      <c r="B8" s="13" t="s">
        <v>113</v>
      </c>
      <c r="C8" s="13" t="s">
        <v>114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107</v>
      </c>
      <c r="H8" s="13" t="s">
        <v>73</v>
      </c>
      <c r="I8" s="13"/>
      <c r="J8" s="13" t="n">
        <v>12</v>
      </c>
      <c r="K8" s="13" t="s">
        <v>110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115</v>
      </c>
      <c r="B9" s="13" t="s">
        <v>113</v>
      </c>
      <c r="C9" s="13" t="s">
        <v>114</v>
      </c>
      <c r="D9" s="13" t="s">
        <v>36</v>
      </c>
      <c r="E9" s="18" t="n">
        <v>40</v>
      </c>
      <c r="F9" s="6" t="n">
        <f aca="false">IF(A9="","",IFERROR(E9/INDEX(Paramètres!$E$4:$E$7,MATCH(D9,Paramètres!$D$4:$D$7,0)),0))</f>
        <v>40</v>
      </c>
      <c r="G9" s="13" t="s">
        <v>107</v>
      </c>
      <c r="H9" s="13" t="s">
        <v>79</v>
      </c>
      <c r="I9" s="13"/>
      <c r="J9" s="13" t="n">
        <v>14</v>
      </c>
      <c r="K9" s="13" t="s">
        <v>110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20</v>
      </c>
      <c r="N9" s="6" t="n">
        <f aca="false">IF(A9="","",F9-M9)</f>
        <v>20</v>
      </c>
    </row>
    <row r="10" customFormat="false" ht="15" hidden="false" customHeight="false" outlineLevel="0" collapsed="false">
      <c r="A10" s="13" t="s">
        <v>116</v>
      </c>
      <c r="B10" s="13" t="s">
        <v>117</v>
      </c>
      <c r="C10" s="13" t="s">
        <v>28</v>
      </c>
      <c r="D10" s="13" t="s">
        <v>36</v>
      </c>
      <c r="E10" s="18" t="n">
        <v>30</v>
      </c>
      <c r="F10" s="6" t="n">
        <f aca="false">IF(A10="","",IFERROR(E10/INDEX(Paramètres!$E$4:$E$7,MATCH(D10,Paramètres!$D$4:$D$7,0)),0))</f>
        <v>30</v>
      </c>
      <c r="G10" s="13" t="s">
        <v>107</v>
      </c>
      <c r="H10" s="13" t="s">
        <v>79</v>
      </c>
      <c r="I10" s="13"/>
      <c r="J10" s="13" t="n">
        <v>10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0.5</v>
      </c>
      <c r="M10" s="6" t="n">
        <f aca="false">IF(A10="","",F10*L10)</f>
        <v>15</v>
      </c>
      <c r="N10" s="6" t="n">
        <f aca="false">IF(A10="","",F10-M10)</f>
        <v>15</v>
      </c>
    </row>
    <row r="11" customFormat="false" ht="15" hidden="false" customHeight="false" outlineLevel="0" collapsed="false">
      <c r="A11" s="13" t="s">
        <v>118</v>
      </c>
      <c r="B11" s="13" t="s">
        <v>119</v>
      </c>
      <c r="C11" s="13" t="s">
        <v>28</v>
      </c>
      <c r="D11" s="13" t="s">
        <v>39</v>
      </c>
      <c r="E11" s="18" t="n">
        <v>210</v>
      </c>
      <c r="F11" s="6" t="n">
        <f aca="false">IF(A11="","",IFERROR(E11/INDEX(Paramètres!$E$4:$E$7,MATCH(D11,Paramètres!$D$4:$D$7,0)),0))</f>
        <v>70</v>
      </c>
      <c r="G11" s="13" t="s">
        <v>107</v>
      </c>
      <c r="H11" s="13" t="s">
        <v>77</v>
      </c>
      <c r="I11" s="13"/>
      <c r="J11" s="13" t="n">
        <v>1</v>
      </c>
      <c r="K11" s="13" t="s">
        <v>120</v>
      </c>
      <c r="L11" s="7" t="n">
        <f aca="false">IF(A11="","",IF(K11="50/50",0.5,IF(K11="Prorata salaires",Paramètres!$B$9,IF(K11="Personne 1 seul",1,IF(K11="Personne 2 seul",0,0.5)))))</f>
        <v>1</v>
      </c>
      <c r="M11" s="6" t="n">
        <f aca="false">IF(A11="","",F11*L11)</f>
        <v>70</v>
      </c>
      <c r="N11" s="6" t="n">
        <f aca="false">IF(A11="","",F11-M11)</f>
        <v>0</v>
      </c>
    </row>
    <row r="12" customFormat="false" ht="15" hidden="false" customHeight="false" outlineLevel="0" collapsed="false">
      <c r="A12" s="13" t="s">
        <v>121</v>
      </c>
      <c r="B12" s="13" t="s">
        <v>117</v>
      </c>
      <c r="C12" s="13" t="s">
        <v>28</v>
      </c>
      <c r="D12" s="13" t="s">
        <v>36</v>
      </c>
      <c r="E12" s="18" t="n">
        <v>28</v>
      </c>
      <c r="F12" s="6" t="n">
        <f aca="false">IF(A12="","",IFERROR(E12/INDEX(Paramètres!$E$4:$E$7,MATCH(D12,Paramètres!$D$4:$D$7,0)),0))</f>
        <v>28</v>
      </c>
      <c r="G12" s="13" t="s">
        <v>107</v>
      </c>
      <c r="H12" s="13" t="s">
        <v>44</v>
      </c>
      <c r="I12" s="13"/>
      <c r="J12" s="13" t="n">
        <v>8</v>
      </c>
      <c r="K12" s="13" t="s">
        <v>122</v>
      </c>
      <c r="L12" s="7" t="n">
        <f aca="false">IF(A12="","",IF(K12="50/50",0.5,IF(K12="Prorata salaires",Paramètres!$B$9,IF(K12="Personne 1 seul",1,IF(K12="Personne 2 seul",0,0.5)))))</f>
        <v>0</v>
      </c>
      <c r="M12" s="6" t="n">
        <f aca="false">IF(A12="","",F12*L12)</f>
        <v>0</v>
      </c>
      <c r="N12" s="6" t="n">
        <f aca="false">IF(A12="","",F12-M12)</f>
        <v>28</v>
      </c>
    </row>
    <row r="13" customFormat="false" ht="15" hidden="false" customHeight="false" outlineLevel="0" collapsed="false">
      <c r="A13" s="13" t="s">
        <v>123</v>
      </c>
      <c r="B13" s="13" t="s">
        <v>124</v>
      </c>
      <c r="C13" s="13" t="s">
        <v>114</v>
      </c>
      <c r="D13" s="13" t="s">
        <v>36</v>
      </c>
      <c r="E13" s="18" t="n">
        <v>600</v>
      </c>
      <c r="F13" s="6" t="n">
        <f aca="false">IF(A13="","",IFERROR(E13/INDEX(Paramètres!$E$4:$E$7,MATCH(D13,Paramètres!$D$4:$D$7,0)),0))</f>
        <v>600</v>
      </c>
      <c r="G13" s="13" t="s">
        <v>125</v>
      </c>
      <c r="H13" s="13" t="s">
        <v>77</v>
      </c>
      <c r="I13" s="13"/>
      <c r="J13" s="13"/>
      <c r="K13" s="13" t="s">
        <v>110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300</v>
      </c>
      <c r="N13" s="6" t="n">
        <f aca="false">IF(A13="","",F13-M13)</f>
        <v>300</v>
      </c>
    </row>
    <row r="14" customFormat="false" ht="15" hidden="false" customHeight="false" outlineLevel="0" collapsed="false">
      <c r="A14" s="13" t="s">
        <v>126</v>
      </c>
      <c r="B14" s="13" t="s">
        <v>82</v>
      </c>
      <c r="C14" s="13" t="s">
        <v>28</v>
      </c>
      <c r="D14" s="13" t="s">
        <v>36</v>
      </c>
      <c r="E14" s="18" t="n">
        <v>150</v>
      </c>
      <c r="F14" s="6" t="n">
        <f aca="false">IF(A14="","",IFERROR(E14/INDEX(Paramètres!$E$4:$E$7,MATCH(D14,Paramètres!$D$4:$D$7,0)),0))</f>
        <v>150</v>
      </c>
      <c r="G14" s="13" t="s">
        <v>127</v>
      </c>
      <c r="H14" s="13" t="s">
        <v>77</v>
      </c>
      <c r="I14" s="13" t="s">
        <v>81</v>
      </c>
      <c r="J14" s="13" t="n">
        <v>3</v>
      </c>
      <c r="K14" s="13" t="s">
        <v>110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75</v>
      </c>
      <c r="N14" s="6" t="n">
        <f aca="false">IF(A14="","",F14-M14)</f>
        <v>75</v>
      </c>
    </row>
    <row r="15" customFormat="false" ht="15" hidden="false" customHeight="false" outlineLevel="0" collapsed="false">
      <c r="A15" s="13" t="s">
        <v>128</v>
      </c>
      <c r="B15" s="13" t="s">
        <v>129</v>
      </c>
      <c r="C15" s="13" t="s">
        <v>114</v>
      </c>
      <c r="D15" s="13" t="s">
        <v>36</v>
      </c>
      <c r="E15" s="18" t="n">
        <v>90</v>
      </c>
      <c r="F15" s="6" t="n">
        <f aca="false">IF(A15="","",IFERROR(E15/INDEX(Paramètres!$E$4:$E$7,MATCH(D15,Paramètres!$D$4:$D$7,0)),0))</f>
        <v>90</v>
      </c>
      <c r="G15" s="13" t="s">
        <v>127</v>
      </c>
      <c r="H15" s="13" t="s">
        <v>77</v>
      </c>
      <c r="I15" s="13" t="s">
        <v>130</v>
      </c>
      <c r="J15" s="13" t="n">
        <v>28</v>
      </c>
      <c r="K15" s="13" t="s">
        <v>110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45</v>
      </c>
      <c r="N15" s="6" t="n">
        <f aca="false">IF(A15="","",F15-M15)</f>
        <v>45</v>
      </c>
    </row>
    <row r="16" customFormat="false" ht="15" hidden="false" customHeight="false" outlineLevel="0" collapsed="false">
      <c r="A16" s="13" t="s">
        <v>131</v>
      </c>
      <c r="B16" s="13" t="s">
        <v>129</v>
      </c>
      <c r="C16" s="13" t="s">
        <v>114</v>
      </c>
      <c r="D16" s="13" t="s">
        <v>45</v>
      </c>
      <c r="E16" s="18" t="n">
        <v>600</v>
      </c>
      <c r="F16" s="6" t="n">
        <f aca="false">IF(A16="","",IFERROR(E16/INDEX(Paramètres!$E$4:$E$7,MATCH(D16,Paramètres!$D$4:$D$7,0)),0))</f>
        <v>50</v>
      </c>
      <c r="G16" s="13" t="s">
        <v>125</v>
      </c>
      <c r="H16" s="13" t="s">
        <v>77</v>
      </c>
      <c r="I16" s="13"/>
      <c r="J16" s="13"/>
      <c r="K16" s="13" t="s">
        <v>110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25</v>
      </c>
      <c r="N16" s="6" t="n">
        <f aca="false">IF(A16="","",F16-M16)</f>
        <v>25</v>
      </c>
    </row>
    <row r="17" customFormat="false" ht="15" hidden="false" customHeight="false" outlineLevel="0" collapsed="false">
      <c r="A17" s="13" t="s">
        <v>132</v>
      </c>
      <c r="B17" s="13" t="s">
        <v>133</v>
      </c>
      <c r="C17" s="13" t="s">
        <v>114</v>
      </c>
      <c r="D17" s="13" t="s">
        <v>36</v>
      </c>
      <c r="E17" s="18" t="n">
        <v>30</v>
      </c>
      <c r="F17" s="6" t="n">
        <f aca="false">IF(A17="","",IFERROR(E17/INDEX(Paramètres!$E$4:$E$7,MATCH(D17,Paramètres!$D$4:$D$7,0)),0))</f>
        <v>30</v>
      </c>
      <c r="G17" s="13" t="s">
        <v>134</v>
      </c>
      <c r="H17" s="13" t="s">
        <v>77</v>
      </c>
      <c r="I17" s="13"/>
      <c r="J17" s="13"/>
      <c r="K17" s="13" t="s">
        <v>110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15</v>
      </c>
      <c r="N17" s="6" t="n">
        <f aca="false">IF(A17="","",F17-M17)</f>
        <v>15</v>
      </c>
    </row>
    <row r="18" customFormat="false" ht="15" hidden="false" customHeight="false" outlineLevel="0" collapsed="false">
      <c r="A18" s="13" t="s">
        <v>135</v>
      </c>
      <c r="B18" s="13" t="s">
        <v>136</v>
      </c>
      <c r="C18" s="13" t="s">
        <v>114</v>
      </c>
      <c r="D18" s="13" t="s">
        <v>45</v>
      </c>
      <c r="E18" s="18" t="n">
        <v>500</v>
      </c>
      <c r="F18" s="6" t="n">
        <f aca="false">IF(A18="","",IFERROR(E18/INDEX(Paramètres!$E$4:$E$7,MATCH(D18,Paramètres!$D$4:$D$7,0)),0))</f>
        <v>41.6666666666667</v>
      </c>
      <c r="G18" s="13" t="s">
        <v>125</v>
      </c>
      <c r="H18" s="13" t="s">
        <v>77</v>
      </c>
      <c r="I18" s="13"/>
      <c r="J18" s="13"/>
      <c r="K18" s="13" t="s">
        <v>110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20.8333333333333</v>
      </c>
      <c r="N18" s="6" t="n">
        <f aca="false">IF(A18="","",F18-M18)</f>
        <v>20.8333333333333</v>
      </c>
    </row>
    <row r="19" customFormat="false" ht="15" hidden="false" customHeight="false" outlineLevel="0" collapsed="false">
      <c r="A19" s="13" t="s">
        <v>137</v>
      </c>
      <c r="B19" s="13" t="s">
        <v>138</v>
      </c>
      <c r="C19" s="13" t="s">
        <v>114</v>
      </c>
      <c r="D19" s="13" t="s">
        <v>36</v>
      </c>
      <c r="E19" s="21" t="n">
        <f aca="false">Paramètres!$B$22*SUMIFS(Revenus!$F$5:$F$24,Revenus!$B$5:$B$24,"Salaire")</f>
        <v>129</v>
      </c>
      <c r="F19" s="6" t="n">
        <f aca="false">IF(A19="","",IFERROR(E19/INDEX(Paramètres!$E$4:$E$7,MATCH(D19,Paramètres!$D$4:$D$7,0)),0))</f>
        <v>129</v>
      </c>
      <c r="G19" s="13" t="s">
        <v>127</v>
      </c>
      <c r="H19" s="13" t="s">
        <v>77</v>
      </c>
      <c r="I19" s="13" t="s">
        <v>84</v>
      </c>
      <c r="J19" s="13" t="n">
        <v>3</v>
      </c>
      <c r="K19" s="13" t="s">
        <v>110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64.5</v>
      </c>
      <c r="N19" s="6" t="n">
        <f aca="false">IF(A19="","",F19-M19)</f>
        <v>64.5</v>
      </c>
    </row>
    <row r="20" customFormat="false" ht="15" hidden="false" customHeight="false" outlineLevel="0" collapsed="false">
      <c r="A20" s="13" t="s">
        <v>139</v>
      </c>
      <c r="B20" s="13" t="s">
        <v>82</v>
      </c>
      <c r="C20" s="13" t="s">
        <v>28</v>
      </c>
      <c r="D20" s="13" t="s">
        <v>36</v>
      </c>
      <c r="E20" s="18" t="n">
        <v>50</v>
      </c>
      <c r="F20" s="6" t="n">
        <f aca="false">IF(A20="","",IFERROR(E20/INDEX(Paramètres!$E$4:$E$7,MATCH(D20,Paramètres!$D$4:$D$7,0)),0))</f>
        <v>50</v>
      </c>
      <c r="G20" s="13" t="s">
        <v>127</v>
      </c>
      <c r="H20" s="13" t="s">
        <v>77</v>
      </c>
      <c r="I20" s="13" t="s">
        <v>86</v>
      </c>
      <c r="J20" s="13" t="n">
        <v>4</v>
      </c>
      <c r="K20" s="13" t="s">
        <v>110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25</v>
      </c>
      <c r="N20" s="6" t="n">
        <f aca="false">IF(A20="","",F20-M20)</f>
        <v>25</v>
      </c>
    </row>
    <row r="21" customFormat="false" ht="15" hidden="false" customHeight="false" outlineLevel="0" collapsed="false">
      <c r="A21" s="13" t="s">
        <v>140</v>
      </c>
      <c r="B21" s="13" t="s">
        <v>82</v>
      </c>
      <c r="C21" s="13" t="s">
        <v>28</v>
      </c>
      <c r="D21" s="13" t="s">
        <v>36</v>
      </c>
      <c r="E21" s="18" t="n">
        <v>50</v>
      </c>
      <c r="F21" s="6" t="n">
        <f aca="false">IF(A21="","",IFERROR(E21/INDEX(Paramètres!$E$4:$E$7,MATCH(D21,Paramètres!$D$4:$D$7,0)),0))</f>
        <v>50</v>
      </c>
      <c r="G21" s="13" t="s">
        <v>127</v>
      </c>
      <c r="H21" s="13" t="s">
        <v>77</v>
      </c>
      <c r="I21" s="13" t="s">
        <v>89</v>
      </c>
      <c r="J21" s="13" t="n">
        <v>4</v>
      </c>
      <c r="K21" s="13" t="s">
        <v>110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25</v>
      </c>
      <c r="N21" s="6" t="n">
        <f aca="false">IF(A21="","",F21-M21)</f>
        <v>25</v>
      </c>
    </row>
    <row r="22" customFormat="false" ht="15" hidden="false" customHeight="false" outlineLevel="0" collapsed="false">
      <c r="A22" s="13" t="s">
        <v>141</v>
      </c>
      <c r="B22" s="13" t="s">
        <v>142</v>
      </c>
      <c r="C22" s="13" t="s">
        <v>28</v>
      </c>
      <c r="D22" s="13" t="s">
        <v>36</v>
      </c>
      <c r="E22" s="18" t="n">
        <v>120</v>
      </c>
      <c r="F22" s="6" t="n">
        <f aca="false">IF(A22="","",IFERROR(E22/INDEX(Paramètres!$E$4:$E$7,MATCH(D22,Paramètres!$D$4:$D$7,0)),0))</f>
        <v>120</v>
      </c>
      <c r="G22" s="13" t="s">
        <v>143</v>
      </c>
      <c r="H22" s="13" t="s">
        <v>77</v>
      </c>
      <c r="I22" s="13"/>
      <c r="J22" s="13" t="n">
        <v>1</v>
      </c>
      <c r="K22" s="13" t="s">
        <v>110</v>
      </c>
      <c r="L22" s="7" t="n">
        <f aca="false">IF(A22="","",IF(K22="50/50",0.5,IF(K22="Prorata salaires",Paramètres!$B$9,IF(K22="Personne 1 seul",1,IF(K22="Personne 2 seul",0,0.5)))))</f>
        <v>0.5</v>
      </c>
      <c r="M22" s="6" t="n">
        <f aca="false">IF(A22="","",F22*L22)</f>
        <v>60</v>
      </c>
      <c r="N22" s="6" t="n">
        <f aca="false">IF(A22="","",F22-M22)</f>
        <v>60</v>
      </c>
    </row>
    <row r="23" customFormat="false" ht="15" hidden="false" customHeight="false" outlineLevel="0" collapsed="false">
      <c r="A23" s="13" t="s">
        <v>144</v>
      </c>
      <c r="B23" s="13" t="s">
        <v>129</v>
      </c>
      <c r="C23" s="13" t="s">
        <v>28</v>
      </c>
      <c r="D23" s="13" t="s">
        <v>36</v>
      </c>
      <c r="E23" s="18" t="n">
        <v>30</v>
      </c>
      <c r="F23" s="6" t="n">
        <f aca="false">IF(A23="","",IFERROR(E23/INDEX(Paramètres!$E$4:$E$7,MATCH(D23,Paramètres!$D$4:$D$7,0)),0))</f>
        <v>30</v>
      </c>
      <c r="G23" s="13" t="s">
        <v>143</v>
      </c>
      <c r="H23" s="13" t="s">
        <v>77</v>
      </c>
      <c r="I23" s="13"/>
      <c r="J23" s="13" t="n">
        <v>1</v>
      </c>
      <c r="K23" s="13" t="s">
        <v>110</v>
      </c>
      <c r="L23" s="7" t="n">
        <f aca="false">IF(A23="","",IF(K23="50/50",0.5,IF(K23="Prorata salaires",Paramètres!$B$9,IF(K23="Personne 1 seul",1,IF(K23="Personne 2 seul",0,0.5)))))</f>
        <v>0.5</v>
      </c>
      <c r="M23" s="6" t="n">
        <f aca="false">IF(A23="","",F23*L23)</f>
        <v>15</v>
      </c>
      <c r="N23" s="6" t="n">
        <f aca="false">IF(A23="","",F23-M23)</f>
        <v>15</v>
      </c>
    </row>
    <row r="24" customFormat="false" ht="15" hidden="false" customHeight="false" outlineLevel="0" collapsed="false">
      <c r="A24" s="13" t="s">
        <v>145</v>
      </c>
      <c r="B24" s="13" t="s">
        <v>124</v>
      </c>
      <c r="C24" s="13" t="s">
        <v>114</v>
      </c>
      <c r="D24" s="13" t="s">
        <v>36</v>
      </c>
      <c r="E24" s="18" t="n">
        <v>60</v>
      </c>
      <c r="F24" s="6" t="n">
        <f aca="false">IF(A24="","",IFERROR(E24/INDEX(Paramètres!$E$4:$E$7,MATCH(D24,Paramètres!$D$4:$D$7,0)),0))</f>
        <v>60</v>
      </c>
      <c r="G24" s="13" t="s">
        <v>143</v>
      </c>
      <c r="H24" s="13" t="s">
        <v>77</v>
      </c>
      <c r="I24" s="13"/>
      <c r="J24" s="13"/>
      <c r="K24" s="13" t="s">
        <v>110</v>
      </c>
      <c r="L24" s="7" t="n">
        <f aca="false">IF(A24="","",IF(K24="50/50",0.5,IF(K24="Prorata salaires",Paramètres!$B$9,IF(K24="Personne 1 seul",1,IF(K24="Personne 2 seul",0,0.5)))))</f>
        <v>0.5</v>
      </c>
      <c r="M24" s="6" t="n">
        <f aca="false">IF(A24="","",F24*L24)</f>
        <v>30</v>
      </c>
      <c r="N24" s="6" t="n">
        <f aca="false">IF(A24="","",F24-M24)</f>
        <v>30</v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146</v>
      </c>
      <c r="F55" s="9" t="n">
        <f aca="false">SUM(F5:F54)</f>
        <v>3002</v>
      </c>
      <c r="M55" s="9" t="n">
        <f aca="false">SUM(M5:M54)</f>
        <v>1595.15891472868</v>
      </c>
      <c r="N55" s="9" t="n">
        <f aca="false">SUM(N5:N54)</f>
        <v>1406.84108527132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147</v>
      </c>
    </row>
    <row r="2" customFormat="false" ht="15" hidden="false" customHeight="false" outlineLevel="0" collapsed="false">
      <c r="A2" s="2" t="s">
        <v>148</v>
      </c>
    </row>
    <row r="4" customFormat="false" ht="42" hidden="false" customHeight="true" outlineLevel="0" collapsed="false">
      <c r="A4" s="4" t="s">
        <v>94</v>
      </c>
      <c r="B4" s="4" t="s">
        <v>18</v>
      </c>
      <c r="C4" s="4" t="s">
        <v>3</v>
      </c>
      <c r="D4" s="4" t="s">
        <v>97</v>
      </c>
      <c r="E4" s="4" t="s">
        <v>32</v>
      </c>
      <c r="F4" s="4" t="s">
        <v>98</v>
      </c>
      <c r="G4" s="4" t="s">
        <v>149</v>
      </c>
      <c r="H4" s="4" t="s">
        <v>102</v>
      </c>
    </row>
    <row r="5" customFormat="false" ht="15" hidden="false" customHeight="false" outlineLevel="0" collapsed="false">
      <c r="A5" s="13" t="s">
        <v>150</v>
      </c>
      <c r="B5" s="13" t="s">
        <v>151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152</v>
      </c>
      <c r="B6" s="13" t="s">
        <v>151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153</v>
      </c>
      <c r="B7" s="13" t="s">
        <v>154</v>
      </c>
      <c r="C7" s="13" t="s">
        <v>155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77</v>
      </c>
      <c r="H7" s="13" t="n">
        <v>5</v>
      </c>
    </row>
    <row r="8" customFormat="false" ht="15" hidden="false" customHeight="false" outlineLevel="0" collapsed="false">
      <c r="A8" s="13" t="s">
        <v>156</v>
      </c>
      <c r="B8" s="13" t="s">
        <v>154</v>
      </c>
      <c r="C8" s="13" t="s">
        <v>155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77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146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4" customFormat="false" ht="42" hidden="false" customHeight="true" outlineLevel="0" collapsed="false">
      <c r="A4" s="4" t="s">
        <v>94</v>
      </c>
      <c r="B4" s="4" t="s">
        <v>3</v>
      </c>
      <c r="C4" s="4" t="s">
        <v>95</v>
      </c>
      <c r="D4" s="4" t="s">
        <v>32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102</v>
      </c>
    </row>
    <row r="5" customFormat="false" ht="15" hidden="false" customHeight="false" outlineLevel="0" collapsed="false">
      <c r="A5" s="13" t="s">
        <v>159</v>
      </c>
      <c r="B5" s="13" t="s">
        <v>35</v>
      </c>
      <c r="C5" s="13" t="s">
        <v>136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  <c r="G5" s="13" t="s">
        <v>107</v>
      </c>
      <c r="H5" s="13" t="s">
        <v>41</v>
      </c>
      <c r="I5" s="13" t="n">
        <v>10</v>
      </c>
    </row>
    <row r="6" customFormat="false" ht="15" hidden="false" customHeight="false" outlineLevel="0" collapsed="false">
      <c r="A6" s="13" t="s">
        <v>160</v>
      </c>
      <c r="B6" s="13" t="s">
        <v>35</v>
      </c>
      <c r="C6" s="13" t="s">
        <v>161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  <c r="G6" s="13" t="s">
        <v>125</v>
      </c>
      <c r="H6" s="13" t="s">
        <v>41</v>
      </c>
      <c r="I6" s="13"/>
    </row>
    <row r="7" customFormat="false" ht="15" hidden="false" customHeight="false" outlineLevel="0" collapsed="false">
      <c r="A7" s="13" t="s">
        <v>162</v>
      </c>
      <c r="B7" s="13" t="s">
        <v>35</v>
      </c>
      <c r="C7" s="13" t="s">
        <v>117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  <c r="G7" s="13" t="s">
        <v>107</v>
      </c>
      <c r="H7" s="13" t="s">
        <v>41</v>
      </c>
      <c r="I7" s="13" t="n">
        <v>15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2" t="s">
        <v>146</v>
      </c>
      <c r="F45" s="9" t="n">
        <f aca="false">SUM(F5:F44)</f>
        <v>86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23" t="s">
        <v>165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166</v>
      </c>
      <c r="B5" s="24" t="n">
        <v>46266</v>
      </c>
    </row>
    <row r="6" customFormat="false" ht="15" hidden="false" customHeight="false" outlineLevel="0" collapsed="false">
      <c r="A6" s="23" t="s">
        <v>167</v>
      </c>
      <c r="B6" s="18" t="n">
        <v>0</v>
      </c>
    </row>
    <row r="7" customFormat="false" ht="15" hidden="false" customHeight="false" outlineLevel="0" collapsed="false">
      <c r="A7" s="23" t="s">
        <v>168</v>
      </c>
      <c r="B7" s="25" t="n">
        <f aca="true">IF(B5="",0,MAX(0,(YEAR(TODAY())-YEAR(B5))*12+MONTH(TODAY())-MONTH(B5)+1))</f>
        <v>2</v>
      </c>
    </row>
    <row r="8" customFormat="false" ht="15" hidden="false" customHeight="false" outlineLevel="0" collapsed="false">
      <c r="A8" s="23" t="s">
        <v>169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170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171</v>
      </c>
      <c r="B10" s="9" t="n">
        <f aca="false">B8-B9</f>
        <v>-47</v>
      </c>
    </row>
    <row r="11" customFormat="false" ht="15" hidden="false" customHeight="false" outlineLevel="0" collapsed="false">
      <c r="A11" s="2" t="s">
        <v>172</v>
      </c>
    </row>
    <row r="12" customFormat="false" ht="42" hidden="false" customHeight="true" outlineLevel="0" collapsed="false">
      <c r="A12" s="4" t="s">
        <v>173</v>
      </c>
      <c r="B12" s="4" t="s">
        <v>94</v>
      </c>
      <c r="C12" s="4" t="s">
        <v>174</v>
      </c>
      <c r="D12" s="4" t="s">
        <v>175</v>
      </c>
    </row>
    <row r="13" customFormat="false" ht="15" hidden="false" customHeight="false" outlineLevel="0" collapsed="false">
      <c r="A13" s="24" t="n">
        <v>46285</v>
      </c>
      <c r="B13" s="13" t="s">
        <v>176</v>
      </c>
      <c r="C13" s="18" t="n">
        <v>220</v>
      </c>
      <c r="D13" s="13" t="s">
        <v>84</v>
      </c>
    </row>
    <row r="14" customFormat="false" ht="15" hidden="false" customHeight="false" outlineLevel="0" collapsed="false">
      <c r="A14" s="24" t="n">
        <v>46300</v>
      </c>
      <c r="B14" s="13" t="s">
        <v>177</v>
      </c>
      <c r="C14" s="18" t="n">
        <v>85</v>
      </c>
      <c r="D14" s="13" t="s">
        <v>84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2026-10-27T16:39:33Z</dcterms:created>
  <dc:creator>openpyxl</dc:creator>
  <dc:description/>
  <dc:language>en-US</dc:language>
  <cp:lastModifiedBy/>
  <dcterms:modified xsi:type="dcterms:W3CDTF">2026-10-27T16:39:33Z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